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aoni\OneDrive\Área de Trabalho\carteira-de-ativos\análise_portfolio\"/>
    </mc:Choice>
  </mc:AlternateContent>
  <xr:revisionPtr revIDLastSave="0" documentId="13_ncr:1_{2175DA05-0B47-415E-A5A4-0367D106B612}" xr6:coauthVersionLast="47" xr6:coauthVersionMax="47" xr10:uidLastSave="{00000000-0000-0000-0000-000000000000}"/>
  <bookViews>
    <workbookView xWindow="-120" yWindow="-120" windowWidth="21840" windowHeight="13140" activeTab="3" xr2:uid="{0B72CC14-623C-4FFA-8540-65A602C365E3}"/>
  </bookViews>
  <sheets>
    <sheet name="ativos" sheetId="8" r:id="rId1"/>
    <sheet name="preços" sheetId="2" r:id="rId2"/>
    <sheet name="retornos" sheetId="3" r:id="rId3"/>
    <sheet name="carteira_3_ativos" sheetId="14" r:id="rId4"/>
    <sheet name="utilidade" sheetId="16" r:id="rId5"/>
    <sheet name="selic" sheetId="6" r:id="rId6"/>
    <sheet name="ipca" sheetId="9" r:id="rId7"/>
  </sheets>
  <functionGroups builtInGroupCount="19"/>
  <definedNames>
    <definedName name="_xlnm._FilterDatabase" localSheetId="0" hidden="1">ativos!$A$1:$I$444</definedName>
    <definedName name="_xlnm._FilterDatabase" localSheetId="3" hidden="1">carteira_3_ativos!#REF!</definedName>
    <definedName name="_xlnm._FilterDatabase" localSheetId="6" hidden="1">ipca!$A$1:$B$1</definedName>
    <definedName name="_xlnm._FilterDatabase" localSheetId="1" hidden="1">preços!$A$1:$AL$1</definedName>
    <definedName name="_xlnm._FilterDatabase" localSheetId="2" hidden="1">retornos!$A$1:$AP$1</definedName>
    <definedName name="_xlnm._FilterDatabase" localSheetId="5" hidden="1">selic!$A$1:$B$6051</definedName>
    <definedName name="corr_a1_a3">retornos!$D$36</definedName>
    <definedName name="cov_a1_a2">retornos!$C$32</definedName>
    <definedName name="cov_a1_a3">retornos!$D$32</definedName>
    <definedName name="cov_a2_a3">retornos!$D$33</definedName>
    <definedName name="dp_risco_a">carteira_3_ativos!$H$7:$H$95</definedName>
    <definedName name="retorno_a">carteira_3_ativos!$E$7:$E$55</definedName>
    <definedName name="retorno_a1">retornos!$B$28</definedName>
    <definedName name="retorno_a2">retornos!$C$28</definedName>
    <definedName name="retorno_a3">retornos!$D$28</definedName>
    <definedName name="retorno_m">carteira_3_ativos!$N$8:$N$40</definedName>
    <definedName name="sharpe_a1">retornos!$B$30</definedName>
    <definedName name="sharpe_a2">retornos!$C$30</definedName>
    <definedName name="sharpe_a3">retornos!$D$30</definedName>
    <definedName name="solver_adj" localSheetId="3" hidden="1">carteira_3_ativos!$L$27:$L$29</definedName>
    <definedName name="solver_cvg" localSheetId="3" hidden="1">0.0001</definedName>
    <definedName name="solver_drv" localSheetId="3" hidden="1">2</definedName>
    <definedName name="solver_eng" localSheetId="3" hidden="1">3</definedName>
    <definedName name="solver_est" localSheetId="3" hidden="1">1</definedName>
    <definedName name="solver_itr" localSheetId="3" hidden="1">2147483647</definedName>
    <definedName name="solver_lhs0" localSheetId="3" hidden="1">carteira_3_ativos!$K$28</definedName>
    <definedName name="solver_lhs1" localSheetId="3" hidden="1">carteira_3_ativos!$L$27</definedName>
    <definedName name="solver_lhs2" localSheetId="3" hidden="1">carteira_3_ativos!$L$28</definedName>
    <definedName name="solver_lhs3" localSheetId="3" hidden="1">carteira_3_ativos!$L$29</definedName>
    <definedName name="solver_lhs4" localSheetId="3" hidden="1">carteira_3_ativos!$L$30</definedName>
    <definedName name="solver_lhs5" localSheetId="3" hidden="1">carteira_3_ativos!$O$26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5</definedName>
    <definedName name="solver_nwt" localSheetId="3" hidden="1">1</definedName>
    <definedName name="solver_opt" localSheetId="3" hidden="1">carteira_3_ativos!$P$26</definedName>
    <definedName name="solver_pre" localSheetId="3" hidden="1">0.000001</definedName>
    <definedName name="solver_rbv" localSheetId="3" hidden="1">2</definedName>
    <definedName name="solver_rel0" localSheetId="3" hidden="1">3</definedName>
    <definedName name="solver_rel1" localSheetId="3" hidden="1">3</definedName>
    <definedName name="solver_rel2" localSheetId="3" hidden="1">3</definedName>
    <definedName name="solver_rel3" localSheetId="3" hidden="1">3</definedName>
    <definedName name="solver_rel4" localSheetId="3" hidden="1">2</definedName>
    <definedName name="solver_rel5" localSheetId="3" hidden="1">3</definedName>
    <definedName name="solver_rhs0" localSheetId="3" hidden="1">10.65</definedName>
    <definedName name="solver_rhs1" localSheetId="3" hidden="1">0</definedName>
    <definedName name="solver_rhs2" localSheetId="3" hidden="1">0</definedName>
    <definedName name="solver_rhs3" localSheetId="3" hidden="1">0</definedName>
    <definedName name="solver_rhs4" localSheetId="3" hidden="1">1</definedName>
    <definedName name="solver_rhs5" localSheetId="3" hidden="1">10.65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0</definedName>
    <definedName name="solver_ver" localSheetId="3" hidden="1">3</definedName>
    <definedName name="taxa_di">utilidade!$R$1</definedName>
    <definedName name="variância_a1">retornos!$B$32</definedName>
    <definedName name="variância_a2">retornos!$C$33</definedName>
    <definedName name="variância_a3">retornos!$D$34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7" i="14" l="1"/>
  <c r="W8" i="14"/>
  <c r="G7" i="14"/>
  <c r="I7" i="14" s="1"/>
  <c r="F7" i="14"/>
  <c r="D34" i="3"/>
  <c r="D8" i="14" l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66" i="14" s="1"/>
  <c r="D67" i="14" s="1"/>
  <c r="D68" i="14" s="1"/>
  <c r="D69" i="14" s="1"/>
  <c r="D70" i="14" s="1"/>
  <c r="D71" i="14" s="1"/>
  <c r="D72" i="14" s="1"/>
  <c r="D73" i="14" s="1"/>
  <c r="D74" i="14" s="1"/>
  <c r="D75" i="14" s="1"/>
  <c r="D76" i="14" s="1"/>
  <c r="D77" i="14" s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C78" i="14" l="1"/>
  <c r="B78" i="14" s="1"/>
  <c r="C14" i="14"/>
  <c r="B14" i="14" s="1"/>
  <c r="C12" i="14"/>
  <c r="B12" i="14" s="1"/>
  <c r="C70" i="14"/>
  <c r="B70" i="14" s="1"/>
  <c r="C38" i="14"/>
  <c r="B38" i="14" s="1"/>
  <c r="C46" i="14"/>
  <c r="B46" i="14" s="1"/>
  <c r="C94" i="14"/>
  <c r="B94" i="14" s="1"/>
  <c r="C62" i="14"/>
  <c r="B62" i="14" s="1"/>
  <c r="C30" i="14"/>
  <c r="B30" i="14" s="1"/>
  <c r="C86" i="14"/>
  <c r="B86" i="14" s="1"/>
  <c r="C54" i="14"/>
  <c r="B54" i="14" s="1"/>
  <c r="C22" i="14"/>
  <c r="B22" i="14" s="1"/>
  <c r="C83" i="14"/>
  <c r="B83" i="14" s="1"/>
  <c r="C67" i="14"/>
  <c r="B67" i="14" s="1"/>
  <c r="C51" i="14"/>
  <c r="B51" i="14" s="1"/>
  <c r="C43" i="14"/>
  <c r="B43" i="14" s="1"/>
  <c r="C35" i="14"/>
  <c r="B35" i="14" s="1"/>
  <c r="C27" i="14"/>
  <c r="B27" i="14" s="1"/>
  <c r="C19" i="14"/>
  <c r="B19" i="14" s="1"/>
  <c r="C11" i="14"/>
  <c r="B11" i="14" s="1"/>
  <c r="C90" i="14"/>
  <c r="B90" i="14" s="1"/>
  <c r="C82" i="14"/>
  <c r="B82" i="14" s="1"/>
  <c r="C74" i="14"/>
  <c r="B74" i="14" s="1"/>
  <c r="C66" i="14"/>
  <c r="B66" i="14" s="1"/>
  <c r="C58" i="14"/>
  <c r="B58" i="14" s="1"/>
  <c r="C50" i="14"/>
  <c r="B50" i="14" s="1"/>
  <c r="C42" i="14"/>
  <c r="B42" i="14" s="1"/>
  <c r="C34" i="14"/>
  <c r="B34" i="14" s="1"/>
  <c r="C26" i="14"/>
  <c r="B26" i="14" s="1"/>
  <c r="C18" i="14"/>
  <c r="B18" i="14" s="1"/>
  <c r="C10" i="14"/>
  <c r="B10" i="14" s="1"/>
  <c r="C91" i="14"/>
  <c r="B91" i="14" s="1"/>
  <c r="C75" i="14"/>
  <c r="B75" i="14" s="1"/>
  <c r="C59" i="14"/>
  <c r="B59" i="14" s="1"/>
  <c r="C95" i="14"/>
  <c r="B95" i="14" s="1"/>
  <c r="C87" i="14"/>
  <c r="B87" i="14" s="1"/>
  <c r="C79" i="14"/>
  <c r="B79" i="14" s="1"/>
  <c r="C71" i="14"/>
  <c r="B71" i="14" s="1"/>
  <c r="C63" i="14"/>
  <c r="B63" i="14" s="1"/>
  <c r="C55" i="14"/>
  <c r="B55" i="14" s="1"/>
  <c r="C47" i="14"/>
  <c r="B47" i="14" s="1"/>
  <c r="C39" i="14"/>
  <c r="B39" i="14" s="1"/>
  <c r="C31" i="14"/>
  <c r="B31" i="14" s="1"/>
  <c r="C23" i="14"/>
  <c r="B23" i="14" s="1"/>
  <c r="C15" i="14"/>
  <c r="B15" i="14" s="1"/>
  <c r="C93" i="14"/>
  <c r="B93" i="14" s="1"/>
  <c r="C89" i="14"/>
  <c r="B89" i="14" s="1"/>
  <c r="C85" i="14"/>
  <c r="B85" i="14" s="1"/>
  <c r="C81" i="14"/>
  <c r="B81" i="14" s="1"/>
  <c r="C77" i="14"/>
  <c r="B77" i="14" s="1"/>
  <c r="C73" i="14"/>
  <c r="B73" i="14" s="1"/>
  <c r="C69" i="14"/>
  <c r="B69" i="14" s="1"/>
  <c r="C65" i="14"/>
  <c r="B65" i="14" s="1"/>
  <c r="C61" i="14"/>
  <c r="B61" i="14" s="1"/>
  <c r="C57" i="14"/>
  <c r="B57" i="14" s="1"/>
  <c r="C53" i="14"/>
  <c r="B53" i="14" s="1"/>
  <c r="C49" i="14"/>
  <c r="B49" i="14" s="1"/>
  <c r="C45" i="14"/>
  <c r="B45" i="14" s="1"/>
  <c r="C41" i="14"/>
  <c r="B41" i="14" s="1"/>
  <c r="C37" i="14"/>
  <c r="B37" i="14" s="1"/>
  <c r="C33" i="14"/>
  <c r="B33" i="14" s="1"/>
  <c r="C29" i="14"/>
  <c r="B29" i="14" s="1"/>
  <c r="C25" i="14"/>
  <c r="B25" i="14" s="1"/>
  <c r="C21" i="14"/>
  <c r="B21" i="14" s="1"/>
  <c r="C17" i="14"/>
  <c r="B17" i="14" s="1"/>
  <c r="C13" i="14"/>
  <c r="B13" i="14" s="1"/>
  <c r="C9" i="14"/>
  <c r="B9" i="14" s="1"/>
  <c r="C8" i="14"/>
  <c r="B8" i="14" s="1"/>
  <c r="C92" i="14"/>
  <c r="B92" i="14" s="1"/>
  <c r="C88" i="14"/>
  <c r="B88" i="14" s="1"/>
  <c r="C84" i="14"/>
  <c r="B84" i="14" s="1"/>
  <c r="C80" i="14"/>
  <c r="B80" i="14" s="1"/>
  <c r="C76" i="14"/>
  <c r="B76" i="14" s="1"/>
  <c r="C72" i="14"/>
  <c r="B72" i="14" s="1"/>
  <c r="C68" i="14"/>
  <c r="B68" i="14" s="1"/>
  <c r="C64" i="14"/>
  <c r="B64" i="14" s="1"/>
  <c r="C60" i="14"/>
  <c r="B60" i="14" s="1"/>
  <c r="C56" i="14"/>
  <c r="B56" i="14" s="1"/>
  <c r="C52" i="14"/>
  <c r="B52" i="14" s="1"/>
  <c r="C48" i="14"/>
  <c r="B48" i="14" s="1"/>
  <c r="C44" i="14"/>
  <c r="B44" i="14" s="1"/>
  <c r="C40" i="14"/>
  <c r="B40" i="14" s="1"/>
  <c r="C36" i="14"/>
  <c r="B36" i="14" s="1"/>
  <c r="C32" i="14"/>
  <c r="B32" i="14" s="1"/>
  <c r="C28" i="14"/>
  <c r="B28" i="14" s="1"/>
  <c r="C24" i="14"/>
  <c r="B24" i="14" s="1"/>
  <c r="C20" i="14"/>
  <c r="B20" i="14" s="1"/>
  <c r="C16" i="14"/>
  <c r="B16" i="14" s="1"/>
  <c r="G84" i="14" l="1"/>
  <c r="I84" i="14" s="1"/>
  <c r="G13" i="14"/>
  <c r="I13" i="14" s="1"/>
  <c r="G45" i="14"/>
  <c r="I45" i="14" s="1"/>
  <c r="G77" i="14"/>
  <c r="I77" i="14" s="1"/>
  <c r="G93" i="14"/>
  <c r="I93" i="14" s="1"/>
  <c r="G47" i="14"/>
  <c r="I47" i="14" s="1"/>
  <c r="G59" i="14"/>
  <c r="I59" i="14" s="1"/>
  <c r="G10" i="14"/>
  <c r="I10" i="14" s="1"/>
  <c r="G74" i="14"/>
  <c r="I74" i="14" s="1"/>
  <c r="G35" i="14"/>
  <c r="I35" i="14" s="1"/>
  <c r="G83" i="14"/>
  <c r="I83" i="14" s="1"/>
  <c r="G86" i="14"/>
  <c r="I86" i="14" s="1"/>
  <c r="G12" i="14"/>
  <c r="I12" i="14" s="1"/>
  <c r="G40" i="14"/>
  <c r="I40" i="14" s="1"/>
  <c r="G56" i="14"/>
  <c r="I56" i="14" s="1"/>
  <c r="G72" i="14"/>
  <c r="I72" i="14" s="1"/>
  <c r="G88" i="14"/>
  <c r="I88" i="14" s="1"/>
  <c r="G17" i="14"/>
  <c r="I17" i="14" s="1"/>
  <c r="G33" i="14"/>
  <c r="I33" i="14" s="1"/>
  <c r="G49" i="14"/>
  <c r="I49" i="14" s="1"/>
  <c r="G65" i="14"/>
  <c r="I65" i="14" s="1"/>
  <c r="G81" i="14"/>
  <c r="I81" i="14" s="1"/>
  <c r="G23" i="14"/>
  <c r="I23" i="14" s="1"/>
  <c r="G55" i="14"/>
  <c r="I55" i="14" s="1"/>
  <c r="G87" i="14"/>
  <c r="I87" i="14" s="1"/>
  <c r="G75" i="14"/>
  <c r="I75" i="14" s="1"/>
  <c r="G18" i="14"/>
  <c r="I18" i="14" s="1"/>
  <c r="G50" i="14"/>
  <c r="I50" i="14" s="1"/>
  <c r="G82" i="14"/>
  <c r="I82" i="14" s="1"/>
  <c r="G11" i="14"/>
  <c r="I11" i="14" s="1"/>
  <c r="G43" i="14"/>
  <c r="I43" i="14" s="1"/>
  <c r="G30" i="14"/>
  <c r="I30" i="14" s="1"/>
  <c r="G38" i="14"/>
  <c r="I38" i="14" s="1"/>
  <c r="G14" i="14"/>
  <c r="I14" i="14" s="1"/>
  <c r="G16" i="14"/>
  <c r="I16" i="14" s="1"/>
  <c r="G32" i="14"/>
  <c r="I32" i="14" s="1"/>
  <c r="G48" i="14"/>
  <c r="I48" i="14" s="1"/>
  <c r="G64" i="14"/>
  <c r="I64" i="14" s="1"/>
  <c r="G80" i="14"/>
  <c r="I80" i="14" s="1"/>
  <c r="G9" i="14"/>
  <c r="I9" i="14" s="1"/>
  <c r="G25" i="14"/>
  <c r="I25" i="14" s="1"/>
  <c r="G41" i="14"/>
  <c r="I41" i="14" s="1"/>
  <c r="G57" i="14"/>
  <c r="I57" i="14" s="1"/>
  <c r="G73" i="14"/>
  <c r="I73" i="14" s="1"/>
  <c r="G89" i="14"/>
  <c r="I89" i="14" s="1"/>
  <c r="G39" i="14"/>
  <c r="I39" i="14" s="1"/>
  <c r="G71" i="14"/>
  <c r="I71" i="14" s="1"/>
  <c r="G34" i="14"/>
  <c r="I34" i="14" s="1"/>
  <c r="G66" i="14"/>
  <c r="I66" i="14" s="1"/>
  <c r="G27" i="14"/>
  <c r="I27" i="14" s="1"/>
  <c r="G67" i="14"/>
  <c r="I67" i="14" s="1"/>
  <c r="G54" i="14"/>
  <c r="I54" i="14" s="1"/>
  <c r="G94" i="14"/>
  <c r="I94" i="14" s="1"/>
  <c r="G20" i="14"/>
  <c r="I20" i="14" s="1"/>
  <c r="G36" i="14"/>
  <c r="I36" i="14" s="1"/>
  <c r="G52" i="14"/>
  <c r="I52" i="14" s="1"/>
  <c r="G68" i="14"/>
  <c r="I68" i="14" s="1"/>
  <c r="G29" i="14"/>
  <c r="I29" i="14" s="1"/>
  <c r="G61" i="14"/>
  <c r="I61" i="14" s="1"/>
  <c r="G15" i="14"/>
  <c r="I15" i="14" s="1"/>
  <c r="G79" i="14"/>
  <c r="I79" i="14" s="1"/>
  <c r="G42" i="14"/>
  <c r="I42" i="14" s="1"/>
  <c r="G46" i="14"/>
  <c r="I46" i="14" s="1"/>
  <c r="G24" i="14"/>
  <c r="I24" i="14" s="1"/>
  <c r="G28" i="14"/>
  <c r="I28" i="14" s="1"/>
  <c r="G44" i="14"/>
  <c r="I44" i="14" s="1"/>
  <c r="G60" i="14"/>
  <c r="I60" i="14" s="1"/>
  <c r="G76" i="14"/>
  <c r="I76" i="14" s="1"/>
  <c r="G92" i="14"/>
  <c r="I92" i="14" s="1"/>
  <c r="G8" i="14"/>
  <c r="I8" i="14" s="1"/>
  <c r="G21" i="14"/>
  <c r="I21" i="14" s="1"/>
  <c r="G37" i="14"/>
  <c r="I37" i="14" s="1"/>
  <c r="G53" i="14"/>
  <c r="I53" i="14" s="1"/>
  <c r="G69" i="14"/>
  <c r="I69" i="14" s="1"/>
  <c r="G85" i="14"/>
  <c r="I85" i="14" s="1"/>
  <c r="G31" i="14"/>
  <c r="I31" i="14" s="1"/>
  <c r="G63" i="14"/>
  <c r="I63" i="14" s="1"/>
  <c r="G95" i="14"/>
  <c r="I95" i="14" s="1"/>
  <c r="G91" i="14"/>
  <c r="I91" i="14" s="1"/>
  <c r="G26" i="14"/>
  <c r="I26" i="14" s="1"/>
  <c r="G58" i="14"/>
  <c r="I58" i="14" s="1"/>
  <c r="G90" i="14"/>
  <c r="I90" i="14" s="1"/>
  <c r="G19" i="14"/>
  <c r="I19" i="14" s="1"/>
  <c r="G51" i="14"/>
  <c r="I51" i="14" s="1"/>
  <c r="G22" i="14"/>
  <c r="I22" i="14" s="1"/>
  <c r="G62" i="14"/>
  <c r="I62" i="14" s="1"/>
  <c r="G70" i="14"/>
  <c r="I70" i="14" s="1"/>
  <c r="G78" i="14"/>
  <c r="I78" i="14" s="1"/>
  <c r="A32" i="3" a="1"/>
  <c r="A32" i="3" s="1"/>
  <c r="A36" i="3" a="1"/>
  <c r="A36" i="3" s="1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L23" i="2"/>
  <c r="AK23" i="2"/>
  <c r="AJ23" i="2"/>
  <c r="AI23" i="2"/>
  <c r="AH23" i="2"/>
  <c r="AG23" i="2"/>
  <c r="AF23" i="2"/>
  <c r="AE23" i="2"/>
  <c r="AD23" i="2"/>
  <c r="AG22" i="3" s="1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L7" i="2"/>
  <c r="AK7" i="2"/>
  <c r="AJ7" i="2"/>
  <c r="AI7" i="2"/>
  <c r="AH7" i="2"/>
  <c r="AG7" i="2"/>
  <c r="AJ6" i="3" s="1"/>
  <c r="AF7" i="2"/>
  <c r="AE7" i="2"/>
  <c r="AD7" i="2"/>
  <c r="AG6" i="3" s="1"/>
  <c r="AC7" i="2"/>
  <c r="AB7" i="2"/>
  <c r="AA7" i="2"/>
  <c r="Z7" i="2"/>
  <c r="AC6" i="3" s="1"/>
  <c r="Y7" i="2"/>
  <c r="X7" i="2"/>
  <c r="W7" i="2"/>
  <c r="V7" i="2"/>
  <c r="Y6" i="3" s="1"/>
  <c r="U7" i="2"/>
  <c r="T7" i="2"/>
  <c r="S7" i="2"/>
  <c r="R7" i="2"/>
  <c r="U6" i="3" s="1"/>
  <c r="Q7" i="2"/>
  <c r="P7" i="2"/>
  <c r="O7" i="2"/>
  <c r="N7" i="2"/>
  <c r="Q6" i="3" s="1"/>
  <c r="M7" i="2"/>
  <c r="L7" i="2"/>
  <c r="K7" i="2"/>
  <c r="J7" i="2"/>
  <c r="M6" i="3" s="1"/>
  <c r="I7" i="2"/>
  <c r="H7" i="2"/>
  <c r="G7" i="2"/>
  <c r="F7" i="2"/>
  <c r="I6" i="3" s="1"/>
  <c r="E7" i="2"/>
  <c r="D7" i="2"/>
  <c r="C7" i="2"/>
  <c r="B7" i="2"/>
  <c r="E6" i="3" s="1"/>
  <c r="AL6" i="2"/>
  <c r="AK6" i="2"/>
  <c r="AJ6" i="2"/>
  <c r="AI6" i="2"/>
  <c r="AL5" i="3" s="1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C751" i="6"/>
  <c r="AP5" i="3" a="1"/>
  <c r="AP13" i="3" a="1"/>
  <c r="AP21" i="3" a="1"/>
  <c r="AP4" i="3" a="1"/>
  <c r="AP14" i="3" a="1"/>
  <c r="AP22" i="3" a="1"/>
  <c r="AP11" i="3" a="1"/>
  <c r="AP8" i="3" a="1"/>
  <c r="AP20" i="3" a="1"/>
  <c r="AP7" i="3" a="1"/>
  <c r="AP15" i="3" a="1"/>
  <c r="AP23" i="3" a="1"/>
  <c r="AP6" i="3" a="1"/>
  <c r="AP16" i="3" a="1"/>
  <c r="AP24" i="3" a="1"/>
  <c r="AP9" i="3" a="1"/>
  <c r="AP17" i="3" a="1"/>
  <c r="AP25" i="3" a="1"/>
  <c r="AP10" i="3" a="1"/>
  <c r="AP18" i="3" a="1"/>
  <c r="AP3" i="3" a="1"/>
  <c r="AP19" i="3" a="1"/>
  <c r="AP12" i="3" a="1"/>
  <c r="AL19" i="3" l="1"/>
  <c r="E20" i="3"/>
  <c r="I20" i="3"/>
  <c r="M20" i="3"/>
  <c r="Q20" i="3"/>
  <c r="U20" i="3"/>
  <c r="Y20" i="3"/>
  <c r="AC20" i="3"/>
  <c r="AG20" i="3"/>
  <c r="H5" i="3"/>
  <c r="L5" i="3"/>
  <c r="P5" i="3"/>
  <c r="T5" i="3"/>
  <c r="X5" i="3"/>
  <c r="AB5" i="3"/>
  <c r="AF5" i="3"/>
  <c r="AI5" i="3"/>
  <c r="H13" i="3"/>
  <c r="P13" i="3"/>
  <c r="AF13" i="3"/>
  <c r="AO16" i="3"/>
  <c r="L17" i="3"/>
  <c r="X17" i="3"/>
  <c r="AO4" i="3"/>
  <c r="AL2" i="3"/>
  <c r="E3" i="3"/>
  <c r="I3" i="3"/>
  <c r="M3" i="3"/>
  <c r="Q3" i="3"/>
  <c r="U3" i="3"/>
  <c r="Y3" i="3"/>
  <c r="AC3" i="3"/>
  <c r="AG3" i="3"/>
  <c r="AJ3" i="3"/>
  <c r="AN3" i="3"/>
  <c r="G4" i="3"/>
  <c r="K4" i="3"/>
  <c r="O4" i="3"/>
  <c r="S4" i="3"/>
  <c r="W4" i="3"/>
  <c r="AA4" i="3"/>
  <c r="AE4" i="3"/>
  <c r="G12" i="3"/>
  <c r="W12" i="3"/>
  <c r="H2" i="3"/>
  <c r="L2" i="3"/>
  <c r="P2" i="3"/>
  <c r="T2" i="3"/>
  <c r="X2" i="3"/>
  <c r="AB2" i="3"/>
  <c r="AF2" i="3"/>
  <c r="AI2" i="3"/>
  <c r="AH3" i="3"/>
  <c r="AK3" i="3"/>
  <c r="AM7" i="3"/>
  <c r="F8" i="3"/>
  <c r="J8" i="3"/>
  <c r="N8" i="3"/>
  <c r="R8" i="3"/>
  <c r="V8" i="3"/>
  <c r="Z8" i="3"/>
  <c r="AD8" i="3"/>
  <c r="AH8" i="3"/>
  <c r="AK8" i="3"/>
  <c r="AN8" i="3"/>
  <c r="G9" i="3"/>
  <c r="K9" i="3"/>
  <c r="O9" i="3"/>
  <c r="S9" i="3"/>
  <c r="W9" i="3"/>
  <c r="AA9" i="3"/>
  <c r="AE9" i="3"/>
  <c r="AM10" i="3"/>
  <c r="N11" i="3"/>
  <c r="V11" i="3"/>
  <c r="AD11" i="3"/>
  <c r="AN15" i="3"/>
  <c r="K16" i="3"/>
  <c r="S16" i="3"/>
  <c r="AA16" i="3"/>
  <c r="AN17" i="3"/>
  <c r="G18" i="3"/>
  <c r="K18" i="3"/>
  <c r="O18" i="3"/>
  <c r="S18" i="3"/>
  <c r="W18" i="3"/>
  <c r="AA18" i="3"/>
  <c r="AE18" i="3"/>
  <c r="AO18" i="3"/>
  <c r="H19" i="3"/>
  <c r="L19" i="3"/>
  <c r="P19" i="3"/>
  <c r="T19" i="3"/>
  <c r="X19" i="3"/>
  <c r="AB19" i="3"/>
  <c r="AF19" i="3"/>
  <c r="AI19" i="3"/>
  <c r="H21" i="3"/>
  <c r="L21" i="3"/>
  <c r="AL6" i="3"/>
  <c r="E7" i="3"/>
  <c r="I7" i="3"/>
  <c r="M7" i="3"/>
  <c r="Q7" i="3"/>
  <c r="U7" i="3"/>
  <c r="Y7" i="3"/>
  <c r="AC7" i="3"/>
  <c r="AG7" i="3"/>
  <c r="AJ7" i="3"/>
  <c r="AN7" i="3"/>
  <c r="G8" i="3"/>
  <c r="K8" i="3"/>
  <c r="O8" i="3"/>
  <c r="S8" i="3"/>
  <c r="W8" i="3"/>
  <c r="AA8" i="3"/>
  <c r="AE8" i="3"/>
  <c r="AO8" i="3"/>
  <c r="H9" i="3"/>
  <c r="L9" i="3"/>
  <c r="P9" i="3"/>
  <c r="T9" i="3"/>
  <c r="X9" i="3"/>
  <c r="AB9" i="3"/>
  <c r="AF9" i="3"/>
  <c r="AI9" i="3"/>
  <c r="AL9" i="3"/>
  <c r="E10" i="3"/>
  <c r="I10" i="3"/>
  <c r="M10" i="3"/>
  <c r="Q10" i="3"/>
  <c r="U10" i="3"/>
  <c r="Y10" i="3"/>
  <c r="AC10" i="3"/>
  <c r="AG10" i="3"/>
  <c r="AJ10" i="3"/>
  <c r="AM14" i="3"/>
  <c r="J15" i="3"/>
  <c r="R15" i="3"/>
  <c r="Z15" i="3"/>
  <c r="AH15" i="3"/>
  <c r="AM16" i="3"/>
  <c r="F17" i="3"/>
  <c r="J17" i="3"/>
  <c r="N17" i="3"/>
  <c r="R17" i="3"/>
  <c r="V17" i="3"/>
  <c r="Z17" i="3"/>
  <c r="AD17" i="3"/>
  <c r="AH17" i="3"/>
  <c r="AK17" i="3"/>
  <c r="O20" i="3"/>
  <c r="S20" i="3"/>
  <c r="S24" i="3"/>
  <c r="AM3" i="3"/>
  <c r="F4" i="3"/>
  <c r="J4" i="3"/>
  <c r="N4" i="3"/>
  <c r="R4" i="3"/>
  <c r="V4" i="3"/>
  <c r="Z4" i="3"/>
  <c r="AD4" i="3"/>
  <c r="AH4" i="3"/>
  <c r="AK4" i="3"/>
  <c r="AN4" i="3"/>
  <c r="G5" i="3"/>
  <c r="K5" i="3"/>
  <c r="O5" i="3"/>
  <c r="S5" i="3"/>
  <c r="W5" i="3"/>
  <c r="AA5" i="3"/>
  <c r="AE5" i="3"/>
  <c r="AO5" i="3"/>
  <c r="H6" i="3"/>
  <c r="L6" i="3"/>
  <c r="P6" i="3"/>
  <c r="T6" i="3"/>
  <c r="X6" i="3"/>
  <c r="AB6" i="3"/>
  <c r="AF6" i="3"/>
  <c r="AI6" i="3"/>
  <c r="AM6" i="3"/>
  <c r="F7" i="3"/>
  <c r="J7" i="3"/>
  <c r="N7" i="3"/>
  <c r="R7" i="3"/>
  <c r="V7" i="3"/>
  <c r="Z7" i="3"/>
  <c r="AD7" i="3"/>
  <c r="AH7" i="3"/>
  <c r="AK7" i="3"/>
  <c r="AL13" i="3"/>
  <c r="I14" i="3"/>
  <c r="Q14" i="3"/>
  <c r="Y14" i="3"/>
  <c r="AG14" i="3"/>
  <c r="AL17" i="3"/>
  <c r="AC18" i="3"/>
  <c r="AG18" i="3"/>
  <c r="V19" i="3"/>
  <c r="Z19" i="3"/>
  <c r="AJ20" i="3"/>
  <c r="AM20" i="3"/>
  <c r="F21" i="3"/>
  <c r="J21" i="3"/>
  <c r="N21" i="3"/>
  <c r="R21" i="3"/>
  <c r="V21" i="3"/>
  <c r="Z21" i="3"/>
  <c r="AD21" i="3"/>
  <c r="AH21" i="3"/>
  <c r="AK21" i="3"/>
  <c r="AN21" i="3"/>
  <c r="G22" i="3"/>
  <c r="K22" i="3"/>
  <c r="O22" i="3"/>
  <c r="S22" i="3"/>
  <c r="W22" i="3"/>
  <c r="AA22" i="3"/>
  <c r="AE22" i="3"/>
  <c r="AO22" i="3"/>
  <c r="H23" i="3"/>
  <c r="L23" i="3"/>
  <c r="P23" i="3"/>
  <c r="T23" i="3"/>
  <c r="X23" i="3"/>
  <c r="AB23" i="3"/>
  <c r="AF23" i="3"/>
  <c r="AI23" i="3"/>
  <c r="AL23" i="3"/>
  <c r="E24" i="3"/>
  <c r="I24" i="3"/>
  <c r="M24" i="3"/>
  <c r="Q24" i="3"/>
  <c r="U24" i="3"/>
  <c r="Y24" i="3"/>
  <c r="F2" i="3"/>
  <c r="J2" i="3"/>
  <c r="N2" i="3"/>
  <c r="R2" i="3"/>
  <c r="V2" i="3"/>
  <c r="Z2" i="3"/>
  <c r="AD2" i="3"/>
  <c r="K2" i="3"/>
  <c r="AO2" i="3"/>
  <c r="AI3" i="3"/>
  <c r="V5" i="3"/>
  <c r="O6" i="3"/>
  <c r="H7" i="3"/>
  <c r="AG8" i="3"/>
  <c r="Z9" i="3"/>
  <c r="S10" i="3"/>
  <c r="AO9" i="3"/>
  <c r="H10" i="3"/>
  <c r="L10" i="3"/>
  <c r="P10" i="3"/>
  <c r="T10" i="3"/>
  <c r="X10" i="3"/>
  <c r="AB10" i="3"/>
  <c r="AF10" i="3"/>
  <c r="AI10" i="3"/>
  <c r="AL10" i="3"/>
  <c r="E11" i="3"/>
  <c r="I11" i="3"/>
  <c r="M11" i="3"/>
  <c r="Q11" i="3"/>
  <c r="U11" i="3"/>
  <c r="Y11" i="3"/>
  <c r="AC11" i="3"/>
  <c r="AG11" i="3"/>
  <c r="AJ11" i="3"/>
  <c r="AM11" i="3"/>
  <c r="F12" i="3"/>
  <c r="J12" i="3"/>
  <c r="N12" i="3"/>
  <c r="R12" i="3"/>
  <c r="V12" i="3"/>
  <c r="Z12" i="3"/>
  <c r="AD12" i="3"/>
  <c r="AH12" i="3"/>
  <c r="AL21" i="3"/>
  <c r="AJ22" i="3"/>
  <c r="Z23" i="3"/>
  <c r="W24" i="3"/>
  <c r="L25" i="3"/>
  <c r="AC24" i="3"/>
  <c r="AG24" i="3"/>
  <c r="AJ24" i="3"/>
  <c r="AM24" i="3"/>
  <c r="F25" i="3"/>
  <c r="J25" i="3"/>
  <c r="N25" i="3"/>
  <c r="R25" i="3"/>
  <c r="V25" i="3"/>
  <c r="Z25" i="3"/>
  <c r="AD25" i="3"/>
  <c r="AH25" i="3"/>
  <c r="AK25" i="3"/>
  <c r="AN25" i="3"/>
  <c r="AK12" i="3"/>
  <c r="AN12" i="3"/>
  <c r="G13" i="3"/>
  <c r="K13" i="3"/>
  <c r="O13" i="3"/>
  <c r="S13" i="3"/>
  <c r="W13" i="3"/>
  <c r="AA13" i="3"/>
  <c r="AE13" i="3"/>
  <c r="AO13" i="3"/>
  <c r="H14" i="3"/>
  <c r="L14" i="3"/>
  <c r="P14" i="3"/>
  <c r="T14" i="3"/>
  <c r="X14" i="3"/>
  <c r="AB14" i="3"/>
  <c r="AF14" i="3"/>
  <c r="AI14" i="3"/>
  <c r="AL14" i="3"/>
  <c r="E15" i="3"/>
  <c r="I15" i="3"/>
  <c r="M15" i="3"/>
  <c r="Q15" i="3"/>
  <c r="U15" i="3"/>
  <c r="Y15" i="3"/>
  <c r="AC15" i="3"/>
  <c r="AG15" i="3"/>
  <c r="AJ15" i="3"/>
  <c r="AM15" i="3"/>
  <c r="F16" i="3"/>
  <c r="J16" i="3"/>
  <c r="N16" i="3"/>
  <c r="R16" i="3"/>
  <c r="V16" i="3"/>
  <c r="Z16" i="3"/>
  <c r="AD16" i="3"/>
  <c r="AH16" i="3"/>
  <c r="AK16" i="3"/>
  <c r="AN16" i="3"/>
  <c r="G17" i="3"/>
  <c r="K17" i="3"/>
  <c r="O17" i="3"/>
  <c r="S17" i="3"/>
  <c r="W17" i="3"/>
  <c r="AA17" i="3"/>
  <c r="AE17" i="3"/>
  <c r="AO17" i="3"/>
  <c r="H18" i="3"/>
  <c r="L18" i="3"/>
  <c r="P18" i="3"/>
  <c r="T18" i="3"/>
  <c r="X18" i="3"/>
  <c r="AB18" i="3"/>
  <c r="AF18" i="3"/>
  <c r="AI18" i="3"/>
  <c r="AL18" i="3"/>
  <c r="E19" i="3"/>
  <c r="I19" i="3"/>
  <c r="M19" i="3"/>
  <c r="Q19" i="3"/>
  <c r="U19" i="3"/>
  <c r="Y19" i="3"/>
  <c r="AC19" i="3"/>
  <c r="AG19" i="3"/>
  <c r="AJ19" i="3"/>
  <c r="AM19" i="3"/>
  <c r="F20" i="3"/>
  <c r="J20" i="3"/>
  <c r="N20" i="3"/>
  <c r="R20" i="3"/>
  <c r="V20" i="3"/>
  <c r="Z20" i="3"/>
  <c r="AD20" i="3"/>
  <c r="AH20" i="3"/>
  <c r="AK20" i="3"/>
  <c r="AN20" i="3"/>
  <c r="G21" i="3"/>
  <c r="AC4" i="3"/>
  <c r="AL7" i="3"/>
  <c r="I2" i="3"/>
  <c r="M2" i="3"/>
  <c r="Q2" i="3"/>
  <c r="U2" i="3"/>
  <c r="Y2" i="3"/>
  <c r="AC2" i="3"/>
  <c r="AG2" i="3"/>
  <c r="AJ2" i="3"/>
  <c r="AM2" i="3"/>
  <c r="F3" i="3"/>
  <c r="J3" i="3"/>
  <c r="N3" i="3"/>
  <c r="R3" i="3"/>
  <c r="V3" i="3"/>
  <c r="Z3" i="3"/>
  <c r="AD3" i="3"/>
  <c r="AH2" i="3"/>
  <c r="AK2" i="3"/>
  <c r="AN2" i="3"/>
  <c r="G3" i="3"/>
  <c r="K3" i="3"/>
  <c r="O3" i="3"/>
  <c r="S3" i="3"/>
  <c r="W3" i="3"/>
  <c r="AA3" i="3"/>
  <c r="AE3" i="3"/>
  <c r="AO3" i="3"/>
  <c r="H4" i="3"/>
  <c r="L4" i="3"/>
  <c r="P4" i="3"/>
  <c r="T4" i="3"/>
  <c r="X4" i="3"/>
  <c r="AB4" i="3"/>
  <c r="AF4" i="3"/>
  <c r="AI4" i="3"/>
  <c r="AL4" i="3"/>
  <c r="E5" i="3"/>
  <c r="I5" i="3"/>
  <c r="M5" i="3"/>
  <c r="Q5" i="3"/>
  <c r="U5" i="3"/>
  <c r="Y5" i="3"/>
  <c r="AC5" i="3"/>
  <c r="AG5" i="3"/>
  <c r="AJ5" i="3"/>
  <c r="AM5" i="3"/>
  <c r="F6" i="3"/>
  <c r="J6" i="3"/>
  <c r="N6" i="3"/>
  <c r="R6" i="3"/>
  <c r="V6" i="3"/>
  <c r="Z6" i="3"/>
  <c r="AD6" i="3"/>
  <c r="AH6" i="3"/>
  <c r="AK6" i="3"/>
  <c r="AN6" i="3"/>
  <c r="G7" i="3"/>
  <c r="K7" i="3"/>
  <c r="O7" i="3"/>
  <c r="S7" i="3"/>
  <c r="W7" i="3"/>
  <c r="AA7" i="3"/>
  <c r="AE7" i="3"/>
  <c r="G2" i="3"/>
  <c r="O2" i="3"/>
  <c r="S2" i="3"/>
  <c r="W2" i="3"/>
  <c r="AA2" i="3"/>
  <c r="AE2" i="3"/>
  <c r="H3" i="3"/>
  <c r="L3" i="3"/>
  <c r="P3" i="3"/>
  <c r="T3" i="3"/>
  <c r="X3" i="3"/>
  <c r="AB3" i="3"/>
  <c r="AF3" i="3"/>
  <c r="AL3" i="3"/>
  <c r="E4" i="3"/>
  <c r="I4" i="3"/>
  <c r="M4" i="3"/>
  <c r="Q4" i="3"/>
  <c r="U4" i="3"/>
  <c r="Y4" i="3"/>
  <c r="AG4" i="3"/>
  <c r="AJ4" i="3"/>
  <c r="AM4" i="3"/>
  <c r="F5" i="3"/>
  <c r="J5" i="3"/>
  <c r="N5" i="3"/>
  <c r="R5" i="3"/>
  <c r="Z5" i="3"/>
  <c r="AD5" i="3"/>
  <c r="AH5" i="3"/>
  <c r="AK5" i="3"/>
  <c r="AN5" i="3"/>
  <c r="G6" i="3"/>
  <c r="K6" i="3"/>
  <c r="S6" i="3"/>
  <c r="W6" i="3"/>
  <c r="AA6" i="3"/>
  <c r="AE6" i="3"/>
  <c r="AO6" i="3"/>
  <c r="L7" i="3"/>
  <c r="P7" i="3"/>
  <c r="T7" i="3"/>
  <c r="X7" i="3"/>
  <c r="AB7" i="3"/>
  <c r="AF7" i="3"/>
  <c r="AI7" i="3"/>
  <c r="E8" i="3"/>
  <c r="I8" i="3"/>
  <c r="M8" i="3"/>
  <c r="Q8" i="3"/>
  <c r="U8" i="3"/>
  <c r="Y8" i="3"/>
  <c r="AC8" i="3"/>
  <c r="AJ8" i="3"/>
  <c r="AM8" i="3"/>
  <c r="F9" i="3"/>
  <c r="J9" i="3"/>
  <c r="N9" i="3"/>
  <c r="R9" i="3"/>
  <c r="V9" i="3"/>
  <c r="AD9" i="3"/>
  <c r="AH9" i="3"/>
  <c r="AK9" i="3"/>
  <c r="AN9" i="3"/>
  <c r="G10" i="3"/>
  <c r="K10" i="3"/>
  <c r="O10" i="3"/>
  <c r="W10" i="3"/>
  <c r="AA10" i="3"/>
  <c r="AE10" i="3"/>
  <c r="AO10" i="3"/>
  <c r="H11" i="3"/>
  <c r="L11" i="3"/>
  <c r="P11" i="3"/>
  <c r="T11" i="3"/>
  <c r="X11" i="3"/>
  <c r="AB11" i="3"/>
  <c r="AF11" i="3"/>
  <c r="AI11" i="3"/>
  <c r="AL11" i="3"/>
  <c r="E12" i="3"/>
  <c r="I12" i="3"/>
  <c r="M12" i="3"/>
  <c r="Q12" i="3"/>
  <c r="U12" i="3"/>
  <c r="Y12" i="3"/>
  <c r="AC12" i="3"/>
  <c r="AG12" i="3"/>
  <c r="AJ12" i="3"/>
  <c r="AM12" i="3"/>
  <c r="F13" i="3"/>
  <c r="J13" i="3"/>
  <c r="N13" i="3"/>
  <c r="R13" i="3"/>
  <c r="V13" i="3"/>
  <c r="Z13" i="3"/>
  <c r="AD13" i="3"/>
  <c r="AH13" i="3"/>
  <c r="AK13" i="3"/>
  <c r="AN13" i="3"/>
  <c r="G14" i="3"/>
  <c r="K14" i="3"/>
  <c r="O14" i="3"/>
  <c r="S14" i="3"/>
  <c r="W14" i="3"/>
  <c r="AA14" i="3"/>
  <c r="AE14" i="3"/>
  <c r="AO14" i="3"/>
  <c r="H15" i="3"/>
  <c r="L15" i="3"/>
  <c r="P15" i="3"/>
  <c r="T15" i="3"/>
  <c r="AO7" i="3"/>
  <c r="H8" i="3"/>
  <c r="L8" i="3"/>
  <c r="P8" i="3"/>
  <c r="T8" i="3"/>
  <c r="X8" i="3"/>
  <c r="AB8" i="3"/>
  <c r="AF8" i="3"/>
  <c r="AI8" i="3"/>
  <c r="AL8" i="3"/>
  <c r="E9" i="3"/>
  <c r="I9" i="3"/>
  <c r="M9" i="3"/>
  <c r="Q9" i="3"/>
  <c r="U9" i="3"/>
  <c r="Y9" i="3"/>
  <c r="AC9" i="3"/>
  <c r="AG9" i="3"/>
  <c r="AJ9" i="3"/>
  <c r="AM9" i="3"/>
  <c r="F10" i="3"/>
  <c r="J10" i="3"/>
  <c r="N10" i="3"/>
  <c r="R10" i="3"/>
  <c r="V10" i="3"/>
  <c r="Z10" i="3"/>
  <c r="AD10" i="3"/>
  <c r="AH10" i="3"/>
  <c r="AK10" i="3"/>
  <c r="AN10" i="3"/>
  <c r="G11" i="3"/>
  <c r="K11" i="3"/>
  <c r="O11" i="3"/>
  <c r="S11" i="3"/>
  <c r="W11" i="3"/>
  <c r="AA11" i="3"/>
  <c r="AE11" i="3"/>
  <c r="AO11" i="3"/>
  <c r="H12" i="3"/>
  <c r="L12" i="3"/>
  <c r="P12" i="3"/>
  <c r="T12" i="3"/>
  <c r="X12" i="3"/>
  <c r="AB12" i="3"/>
  <c r="AF12" i="3"/>
  <c r="AL12" i="3"/>
  <c r="I13" i="3"/>
  <c r="Q13" i="3"/>
  <c r="Y13" i="3"/>
  <c r="AG13" i="3"/>
  <c r="AM13" i="3"/>
  <c r="J14" i="3"/>
  <c r="R14" i="3"/>
  <c r="Z14" i="3"/>
  <c r="AH14" i="3"/>
  <c r="AN14" i="3"/>
  <c r="K15" i="3"/>
  <c r="S15" i="3"/>
  <c r="AA15" i="3"/>
  <c r="AO15" i="3"/>
  <c r="L16" i="3"/>
  <c r="T16" i="3"/>
  <c r="AB16" i="3"/>
  <c r="AI16" i="3"/>
  <c r="E17" i="3"/>
  <c r="M17" i="3"/>
  <c r="Y17" i="3"/>
  <c r="AM17" i="3"/>
  <c r="AK11" i="3"/>
  <c r="X13" i="3"/>
  <c r="X15" i="3"/>
  <c r="AB15" i="3"/>
  <c r="AF15" i="3"/>
  <c r="AI15" i="3"/>
  <c r="AL15" i="3"/>
  <c r="E16" i="3"/>
  <c r="I16" i="3"/>
  <c r="M16" i="3"/>
  <c r="Q16" i="3"/>
  <c r="U16" i="3"/>
  <c r="Y16" i="3"/>
  <c r="AC16" i="3"/>
  <c r="AG16" i="3"/>
  <c r="AJ16" i="3"/>
  <c r="O12" i="3"/>
  <c r="F11" i="3"/>
  <c r="AE12" i="3"/>
  <c r="K21" i="3"/>
  <c r="O21" i="3"/>
  <c r="S21" i="3"/>
  <c r="W21" i="3"/>
  <c r="AA21" i="3"/>
  <c r="AE21" i="3"/>
  <c r="J11" i="3"/>
  <c r="R11" i="3"/>
  <c r="Z11" i="3"/>
  <c r="AH11" i="3"/>
  <c r="AN11" i="3"/>
  <c r="K12" i="3"/>
  <c r="S12" i="3"/>
  <c r="AA12" i="3"/>
  <c r="AO12" i="3"/>
  <c r="L13" i="3"/>
  <c r="T13" i="3"/>
  <c r="AB13" i="3"/>
  <c r="AI13" i="3"/>
  <c r="E14" i="3"/>
  <c r="M14" i="3"/>
  <c r="U14" i="3"/>
  <c r="AC14" i="3"/>
  <c r="AJ14" i="3"/>
  <c r="F15" i="3"/>
  <c r="N15" i="3"/>
  <c r="V15" i="3"/>
  <c r="AD15" i="3"/>
  <c r="AK15" i="3"/>
  <c r="G16" i="3"/>
  <c r="O16" i="3"/>
  <c r="W16" i="3"/>
  <c r="AE16" i="3"/>
  <c r="H17" i="3"/>
  <c r="P17" i="3"/>
  <c r="T17" i="3"/>
  <c r="AB17" i="3"/>
  <c r="AF17" i="3"/>
  <c r="AI17" i="3"/>
  <c r="E18" i="3"/>
  <c r="I18" i="3"/>
  <c r="M18" i="3"/>
  <c r="Q18" i="3"/>
  <c r="U18" i="3"/>
  <c r="Y18" i="3"/>
  <c r="AJ18" i="3"/>
  <c r="AM18" i="3"/>
  <c r="F19" i="3"/>
  <c r="J19" i="3"/>
  <c r="N19" i="3"/>
  <c r="R19" i="3"/>
  <c r="AD19" i="3"/>
  <c r="AH19" i="3"/>
  <c r="AK19" i="3"/>
  <c r="AN19" i="3"/>
  <c r="G20" i="3"/>
  <c r="K20" i="3"/>
  <c r="W20" i="3"/>
  <c r="AA20" i="3"/>
  <c r="AE20" i="3"/>
  <c r="AO20" i="3"/>
  <c r="P21" i="3"/>
  <c r="T21" i="3"/>
  <c r="X21" i="3"/>
  <c r="AB21" i="3"/>
  <c r="AF21" i="3"/>
  <c r="AI21" i="3"/>
  <c r="Q22" i="3"/>
  <c r="U22" i="3"/>
  <c r="J23" i="3"/>
  <c r="N23" i="3"/>
  <c r="AN23" i="3"/>
  <c r="G24" i="3"/>
  <c r="AB25" i="3"/>
  <c r="AF25" i="3"/>
  <c r="AI12" i="3"/>
  <c r="E13" i="3"/>
  <c r="M13" i="3"/>
  <c r="U13" i="3"/>
  <c r="AC13" i="3"/>
  <c r="AJ13" i="3"/>
  <c r="F14" i="3"/>
  <c r="N14" i="3"/>
  <c r="V14" i="3"/>
  <c r="AD14" i="3"/>
  <c r="AK14" i="3"/>
  <c r="G15" i="3"/>
  <c r="O15" i="3"/>
  <c r="W15" i="3"/>
  <c r="AE15" i="3"/>
  <c r="H16" i="3"/>
  <c r="P16" i="3"/>
  <c r="X16" i="3"/>
  <c r="AF16" i="3"/>
  <c r="AL16" i="3"/>
  <c r="I17" i="3"/>
  <c r="Q17" i="3"/>
  <c r="U17" i="3"/>
  <c r="AC17" i="3"/>
  <c r="AG17" i="3"/>
  <c r="AJ17" i="3"/>
  <c r="F18" i="3"/>
  <c r="J18" i="3"/>
  <c r="N18" i="3"/>
  <c r="R18" i="3"/>
  <c r="V18" i="3"/>
  <c r="Z18" i="3"/>
  <c r="AD18" i="3"/>
  <c r="AH18" i="3"/>
  <c r="AK18" i="3"/>
  <c r="AN18" i="3"/>
  <c r="G19" i="3"/>
  <c r="K19" i="3"/>
  <c r="O19" i="3"/>
  <c r="S19" i="3"/>
  <c r="W19" i="3"/>
  <c r="AA19" i="3"/>
  <c r="AE19" i="3"/>
  <c r="AO19" i="3"/>
  <c r="H20" i="3"/>
  <c r="L20" i="3"/>
  <c r="P20" i="3"/>
  <c r="T20" i="3"/>
  <c r="X20" i="3"/>
  <c r="AB20" i="3"/>
  <c r="AF20" i="3"/>
  <c r="AI20" i="3"/>
  <c r="AL20" i="3"/>
  <c r="E21" i="3"/>
  <c r="I21" i="3"/>
  <c r="M21" i="3"/>
  <c r="Q21" i="3"/>
  <c r="U21" i="3"/>
  <c r="Y21" i="3"/>
  <c r="AC21" i="3"/>
  <c r="AG21" i="3"/>
  <c r="AJ21" i="3"/>
  <c r="AM21" i="3"/>
  <c r="F22" i="3"/>
  <c r="J22" i="3"/>
  <c r="N22" i="3"/>
  <c r="R22" i="3"/>
  <c r="V22" i="3"/>
  <c r="Z22" i="3"/>
  <c r="AD22" i="3"/>
  <c r="AH22" i="3"/>
  <c r="AK22" i="3"/>
  <c r="AN22" i="3"/>
  <c r="G23" i="3"/>
  <c r="K23" i="3"/>
  <c r="O23" i="3"/>
  <c r="S23" i="3"/>
  <c r="W23" i="3"/>
  <c r="AA23" i="3"/>
  <c r="AE23" i="3"/>
  <c r="AO23" i="3"/>
  <c r="H24" i="3"/>
  <c r="L24" i="3"/>
  <c r="P24" i="3"/>
  <c r="T24" i="3"/>
  <c r="X24" i="3"/>
  <c r="AB24" i="3"/>
  <c r="AF24" i="3"/>
  <c r="AI24" i="3"/>
  <c r="AL24" i="3"/>
  <c r="E25" i="3"/>
  <c r="I25" i="3"/>
  <c r="M25" i="3"/>
  <c r="Q25" i="3"/>
  <c r="U25" i="3"/>
  <c r="Y25" i="3"/>
  <c r="AC25" i="3"/>
  <c r="AG25" i="3"/>
  <c r="AJ25" i="3"/>
  <c r="AM25" i="3"/>
  <c r="E22" i="3"/>
  <c r="AD23" i="3"/>
  <c r="P25" i="3"/>
  <c r="AO21" i="3"/>
  <c r="H22" i="3"/>
  <c r="L22" i="3"/>
  <c r="P22" i="3"/>
  <c r="T22" i="3"/>
  <c r="X22" i="3"/>
  <c r="AB22" i="3"/>
  <c r="AF22" i="3"/>
  <c r="AI22" i="3"/>
  <c r="AL22" i="3"/>
  <c r="E23" i="3"/>
  <c r="I23" i="3"/>
  <c r="M23" i="3"/>
  <c r="Q23" i="3"/>
  <c r="U23" i="3"/>
  <c r="Y23" i="3"/>
  <c r="AC23" i="3"/>
  <c r="AG23" i="3"/>
  <c r="AJ23" i="3"/>
  <c r="AM23" i="3"/>
  <c r="F24" i="3"/>
  <c r="J24" i="3"/>
  <c r="N24" i="3"/>
  <c r="R24" i="3"/>
  <c r="V24" i="3"/>
  <c r="Z24" i="3"/>
  <c r="AD24" i="3"/>
  <c r="AH24" i="3"/>
  <c r="AK24" i="3"/>
  <c r="AN24" i="3"/>
  <c r="G25" i="3"/>
  <c r="K25" i="3"/>
  <c r="O25" i="3"/>
  <c r="S25" i="3"/>
  <c r="W25" i="3"/>
  <c r="AA25" i="3"/>
  <c r="AE25" i="3"/>
  <c r="AO25" i="3"/>
  <c r="I22" i="3"/>
  <c r="M22" i="3"/>
  <c r="Y22" i="3"/>
  <c r="AC22" i="3"/>
  <c r="AM22" i="3"/>
  <c r="F23" i="3"/>
  <c r="R23" i="3"/>
  <c r="V23" i="3"/>
  <c r="AH23" i="3"/>
  <c r="AK23" i="3"/>
  <c r="K24" i="3"/>
  <c r="O24" i="3"/>
  <c r="AA24" i="3"/>
  <c r="AE24" i="3"/>
  <c r="AO24" i="3"/>
  <c r="H25" i="3"/>
  <c r="T25" i="3"/>
  <c r="X25" i="3"/>
  <c r="AI25" i="3"/>
  <c r="AL25" i="3"/>
  <c r="AP24" i="3"/>
  <c r="AP22" i="3"/>
  <c r="AP20" i="3"/>
  <c r="AP18" i="3"/>
  <c r="AP16" i="3"/>
  <c r="AP14" i="3"/>
  <c r="AP12" i="3"/>
  <c r="AP10" i="3"/>
  <c r="AP6" i="3"/>
  <c r="AP4" i="3"/>
  <c r="AP8" i="3"/>
  <c r="AP25" i="3"/>
  <c r="AP23" i="3"/>
  <c r="AP21" i="3"/>
  <c r="AP19" i="3"/>
  <c r="AP17" i="3"/>
  <c r="AP15" i="3"/>
  <c r="AP13" i="3"/>
  <c r="AP11" i="3"/>
  <c r="AP9" i="3"/>
  <c r="AP7" i="3"/>
  <c r="AP5" i="3"/>
  <c r="AP3" i="3"/>
  <c r="E2" i="3" l="1"/>
  <c r="D8" i="3"/>
  <c r="D12" i="3"/>
  <c r="D16" i="3"/>
  <c r="D20" i="3"/>
  <c r="D24" i="3"/>
  <c r="D3" i="3"/>
  <c r="D5" i="3"/>
  <c r="D7" i="3"/>
  <c r="D9" i="3"/>
  <c r="D13" i="3"/>
  <c r="D15" i="3"/>
  <c r="D17" i="3"/>
  <c r="D19" i="3"/>
  <c r="D21" i="3"/>
  <c r="D23" i="3"/>
  <c r="D25" i="3"/>
  <c r="D6" i="3"/>
  <c r="D10" i="3"/>
  <c r="D14" i="3"/>
  <c r="D18" i="3"/>
  <c r="D22" i="3"/>
  <c r="D11" i="3"/>
  <c r="AP2" i="3" a="1"/>
  <c r="AD26" i="3" a="1"/>
  <c r="AI26" i="3" a="1"/>
  <c r="E26" i="3" a="1"/>
  <c r="AG26" i="3" a="1"/>
  <c r="H26" i="3" a="1"/>
  <c r="T26" i="3" a="1"/>
  <c r="AE26" i="3" a="1"/>
  <c r="AN26" i="3" a="1"/>
  <c r="J26" i="3" a="1"/>
  <c r="AJ26" i="3" a="1"/>
  <c r="K26" i="3" a="1"/>
  <c r="AB26" i="3" a="1"/>
  <c r="N26" i="3" a="1"/>
  <c r="F26" i="3" a="1"/>
  <c r="AL26" i="3" a="1"/>
  <c r="W26" i="3" a="1"/>
  <c r="M26" i="3" a="1"/>
  <c r="Y26" i="3" a="1"/>
  <c r="AC26" i="3" a="1"/>
  <c r="AK26" i="3" a="1"/>
  <c r="Q26" i="3" a="1"/>
  <c r="AM26" i="3" a="1"/>
  <c r="S26" i="3" a="1"/>
  <c r="AO26" i="3" a="1"/>
  <c r="X26" i="3" a="1"/>
  <c r="AF26" i="3" a="1"/>
  <c r="I26" i="3" a="1"/>
  <c r="U26" i="3" a="1"/>
  <c r="O26" i="3" a="1"/>
  <c r="L26" i="3" a="1"/>
  <c r="P26" i="3" a="1"/>
  <c r="R26" i="3" a="1"/>
  <c r="AA26" i="3" a="1"/>
  <c r="Z26" i="3" a="1"/>
  <c r="G26" i="3" a="1"/>
  <c r="AH26" i="3" a="1"/>
  <c r="V26" i="3" a="1"/>
  <c r="AP2" i="3" l="1"/>
  <c r="B5" i="3"/>
  <c r="B13" i="3"/>
  <c r="B12" i="3"/>
  <c r="B4" i="3"/>
  <c r="B21" i="3"/>
  <c r="C17" i="3"/>
  <c r="C10" i="3"/>
  <c r="B9" i="3"/>
  <c r="B8" i="3"/>
  <c r="C2" i="3"/>
  <c r="B20" i="3"/>
  <c r="C14" i="3"/>
  <c r="C19" i="3"/>
  <c r="B16" i="3"/>
  <c r="C5" i="3"/>
  <c r="C9" i="3"/>
  <c r="C25" i="3"/>
  <c r="C18" i="3"/>
  <c r="B17" i="3"/>
  <c r="C22" i="3"/>
  <c r="B24" i="3"/>
  <c r="C21" i="3"/>
  <c r="C13" i="3"/>
  <c r="C6" i="3"/>
  <c r="B22" i="3"/>
  <c r="B14" i="3"/>
  <c r="C16" i="3"/>
  <c r="B25" i="3"/>
  <c r="C7" i="3"/>
  <c r="B7" i="3"/>
  <c r="C24" i="3"/>
  <c r="B15" i="3"/>
  <c r="B6" i="3"/>
  <c r="C4" i="3"/>
  <c r="B18" i="3"/>
  <c r="B23" i="3"/>
  <c r="C20" i="3"/>
  <c r="C12" i="3"/>
  <c r="C11" i="3"/>
  <c r="C3" i="3"/>
  <c r="B3" i="3"/>
  <c r="C23" i="3"/>
  <c r="C15" i="3"/>
  <c r="B19" i="3"/>
  <c r="B11" i="3"/>
  <c r="B10" i="3"/>
  <c r="B2" i="3"/>
  <c r="C8" i="3"/>
  <c r="D4" i="3"/>
  <c r="D2" i="3"/>
  <c r="AD26" i="3"/>
  <c r="AM26" i="3"/>
  <c r="Y26" i="3"/>
  <c r="X26" i="3"/>
  <c r="AO26" i="3"/>
  <c r="AA26" i="3"/>
  <c r="L26" i="3"/>
  <c r="AN26" i="3"/>
  <c r="Z26" i="3"/>
  <c r="G26" i="3"/>
  <c r="AJ26" i="3"/>
  <c r="U26" i="3"/>
  <c r="E26" i="3"/>
  <c r="R26" i="3"/>
  <c r="AI26" i="3"/>
  <c r="T26" i="3"/>
  <c r="W26" i="3"/>
  <c r="H26" i="3"/>
  <c r="AK26" i="3"/>
  <c r="V26" i="3"/>
  <c r="AG26" i="3"/>
  <c r="N26" i="3"/>
  <c r="AF26" i="3"/>
  <c r="Q26" i="3"/>
  <c r="S26" i="3"/>
  <c r="K26" i="3"/>
  <c r="F26" i="3"/>
  <c r="AL26" i="3"/>
  <c r="I26" i="3"/>
  <c r="AH26" i="3"/>
  <c r="O26" i="3"/>
  <c r="AC26" i="3"/>
  <c r="J26" i="3"/>
  <c r="AB26" i="3"/>
  <c r="M26" i="3"/>
  <c r="AE26" i="3"/>
  <c r="P26" i="3"/>
  <c r="AP26" i="3" a="1"/>
  <c r="C26" i="3" a="1"/>
  <c r="B26" i="3" a="1"/>
  <c r="D26" i="3" a="1"/>
  <c r="AP26" i="3" l="1"/>
  <c r="D28" i="3" a="1"/>
  <c r="D28" i="3" s="1"/>
  <c r="D29" i="3"/>
  <c r="B38" i="3"/>
  <c r="C38" i="3"/>
  <c r="B34" i="3"/>
  <c r="D38" i="3"/>
  <c r="C34" i="3"/>
  <c r="C33" i="3"/>
  <c r="C29" i="3" s="1"/>
  <c r="B33" i="3"/>
  <c r="C28" i="3" a="1"/>
  <c r="C28" i="3" s="1"/>
  <c r="C30" i="3" s="1"/>
  <c r="D33" i="3"/>
  <c r="B37" i="3"/>
  <c r="C37" i="3"/>
  <c r="D37" i="3"/>
  <c r="B32" i="3"/>
  <c r="D36" i="3"/>
  <c r="C36" i="3"/>
  <c r="C32" i="3"/>
  <c r="B28" i="3" a="1"/>
  <c r="B28" i="3" s="1"/>
  <c r="D32" i="3"/>
  <c r="B36" i="3"/>
  <c r="B26" i="3"/>
  <c r="C26" i="3"/>
  <c r="D26" i="3"/>
  <c r="D30" i="3" l="1"/>
  <c r="E56" i="14"/>
  <c r="E57" i="14"/>
  <c r="E58" i="14"/>
  <c r="E59" i="14"/>
  <c r="E60" i="14"/>
  <c r="E61" i="14"/>
  <c r="E62" i="14"/>
  <c r="E63" i="14"/>
  <c r="E64" i="14"/>
  <c r="E65" i="14"/>
  <c r="F56" i="14"/>
  <c r="H56" i="14" s="1"/>
  <c r="F57" i="14"/>
  <c r="H57" i="14" s="1"/>
  <c r="F58" i="14"/>
  <c r="H58" i="14" s="1"/>
  <c r="F59" i="14"/>
  <c r="H59" i="14" s="1"/>
  <c r="F60" i="14"/>
  <c r="H60" i="14" s="1"/>
  <c r="F61" i="14"/>
  <c r="H61" i="14" s="1"/>
  <c r="F62" i="14"/>
  <c r="H62" i="14" s="1"/>
  <c r="F63" i="14"/>
  <c r="H63" i="14" s="1"/>
  <c r="F64" i="14"/>
  <c r="H64" i="14" s="1"/>
  <c r="F65" i="14"/>
  <c r="H65" i="14" s="1"/>
  <c r="E66" i="14"/>
  <c r="F66" i="14"/>
  <c r="H66" i="14" s="1"/>
  <c r="F67" i="14"/>
  <c r="H67" i="14" s="1"/>
  <c r="E67" i="14"/>
  <c r="B29" i="3"/>
  <c r="B30" i="3" s="1"/>
  <c r="C22" i="16"/>
  <c r="D22" i="16" s="1"/>
  <c r="C18" i="16"/>
  <c r="D18" i="16" s="1"/>
  <c r="C14" i="16"/>
  <c r="D14" i="16" s="1"/>
  <c r="C10" i="16"/>
  <c r="D10" i="16" s="1"/>
  <c r="C6" i="16"/>
  <c r="D6" i="16" s="1"/>
  <c r="C2" i="16"/>
  <c r="C21" i="16"/>
  <c r="D21" i="16" s="1"/>
  <c r="C17" i="16"/>
  <c r="D17" i="16" s="1"/>
  <c r="C13" i="16"/>
  <c r="D13" i="16" s="1"/>
  <c r="C9" i="16"/>
  <c r="D9" i="16" s="1"/>
  <c r="C5" i="16"/>
  <c r="D5" i="16" s="1"/>
  <c r="R3" i="16"/>
  <c r="C20" i="16"/>
  <c r="D20" i="16" s="1"/>
  <c r="C16" i="16"/>
  <c r="D16" i="16" s="1"/>
  <c r="C12" i="16"/>
  <c r="D12" i="16" s="1"/>
  <c r="C8" i="16"/>
  <c r="D8" i="16" s="1"/>
  <c r="C4" i="16"/>
  <c r="D4" i="16" s="1"/>
  <c r="C19" i="16"/>
  <c r="D19" i="16" s="1"/>
  <c r="C15" i="16"/>
  <c r="D15" i="16" s="1"/>
  <c r="C11" i="16"/>
  <c r="D11" i="16" s="1"/>
  <c r="C7" i="16"/>
  <c r="D7" i="16" s="1"/>
  <c r="C3" i="16"/>
  <c r="D3" i="16" s="1"/>
  <c r="F34" i="14"/>
  <c r="H34" i="14" s="1"/>
  <c r="F35" i="14"/>
  <c r="H35" i="14" s="1"/>
  <c r="F36" i="14"/>
  <c r="H36" i="14" s="1"/>
  <c r="F37" i="14"/>
  <c r="H37" i="14" s="1"/>
  <c r="H7" i="14"/>
  <c r="F38" i="14"/>
  <c r="H38" i="14" s="1"/>
  <c r="F8" i="14"/>
  <c r="H8" i="14" s="1"/>
  <c r="F39" i="14"/>
  <c r="H39" i="14" s="1"/>
  <c r="F9" i="14"/>
  <c r="H9" i="14" s="1"/>
  <c r="F40" i="14"/>
  <c r="H40" i="14" s="1"/>
  <c r="F10" i="14"/>
  <c r="H10" i="14" s="1"/>
  <c r="F41" i="14"/>
  <c r="H41" i="14" s="1"/>
  <c r="F11" i="14"/>
  <c r="H11" i="14" s="1"/>
  <c r="F42" i="14"/>
  <c r="H42" i="14" s="1"/>
  <c r="F12" i="14"/>
  <c r="H12" i="14" s="1"/>
  <c r="F43" i="14"/>
  <c r="H43" i="14" s="1"/>
  <c r="F44" i="14"/>
  <c r="H44" i="14" s="1"/>
  <c r="F13" i="14"/>
  <c r="H13" i="14" s="1"/>
  <c r="F45" i="14"/>
  <c r="H45" i="14" s="1"/>
  <c r="F14" i="14"/>
  <c r="H14" i="14" s="1"/>
  <c r="F15" i="14"/>
  <c r="H15" i="14" s="1"/>
  <c r="F46" i="14"/>
  <c r="H46" i="14" s="1"/>
  <c r="F47" i="14"/>
  <c r="H47" i="14" s="1"/>
  <c r="F16" i="14"/>
  <c r="H16" i="14" s="1"/>
  <c r="F48" i="14"/>
  <c r="H48" i="14" s="1"/>
  <c r="F17" i="14"/>
  <c r="H17" i="14" s="1"/>
  <c r="F49" i="14"/>
  <c r="H49" i="14" s="1"/>
  <c r="F18" i="14"/>
  <c r="H18" i="14" s="1"/>
  <c r="F19" i="14"/>
  <c r="H19" i="14" s="1"/>
  <c r="F50" i="14"/>
  <c r="H50" i="14" s="1"/>
  <c r="F20" i="14"/>
  <c r="H20" i="14" s="1"/>
  <c r="F51" i="14"/>
  <c r="H51" i="14" s="1"/>
  <c r="F52" i="14"/>
  <c r="H52" i="14" s="1"/>
  <c r="F21" i="14"/>
  <c r="H21" i="14" s="1"/>
  <c r="F53" i="14"/>
  <c r="H53" i="14" s="1"/>
  <c r="F22" i="14"/>
  <c r="H22" i="14" s="1"/>
  <c r="F23" i="14"/>
  <c r="H23" i="14" s="1"/>
  <c r="F54" i="14"/>
  <c r="H54" i="14" s="1"/>
  <c r="F24" i="14"/>
  <c r="H24" i="14" s="1"/>
  <c r="F55" i="14"/>
  <c r="H55" i="14" s="1"/>
  <c r="F25" i="14"/>
  <c r="H25" i="14" s="1"/>
  <c r="F26" i="14"/>
  <c r="H26" i="14" s="1"/>
  <c r="F27" i="14"/>
  <c r="H27" i="14" s="1"/>
  <c r="F28" i="14"/>
  <c r="F29" i="14"/>
  <c r="H29" i="14" s="1"/>
  <c r="F30" i="14"/>
  <c r="H30" i="14" s="1"/>
  <c r="F31" i="14"/>
  <c r="H31" i="14" s="1"/>
  <c r="F33" i="14"/>
  <c r="H33" i="14" s="1"/>
  <c r="F32" i="14"/>
  <c r="H32" i="14" s="1"/>
  <c r="R2" i="16"/>
  <c r="E35" i="14"/>
  <c r="E34" i="14"/>
  <c r="E36" i="14"/>
  <c r="E37" i="14"/>
  <c r="E7" i="14"/>
  <c r="E38" i="14"/>
  <c r="E39" i="14"/>
  <c r="E8" i="14"/>
  <c r="E9" i="14"/>
  <c r="E40" i="14"/>
  <c r="E10" i="14"/>
  <c r="E41" i="14"/>
  <c r="E42" i="14"/>
  <c r="E11" i="14"/>
  <c r="E12" i="14"/>
  <c r="E43" i="14"/>
  <c r="E44" i="14"/>
  <c r="E13" i="14"/>
  <c r="E14" i="14"/>
  <c r="E45" i="14"/>
  <c r="E46" i="14"/>
  <c r="E15" i="14"/>
  <c r="E16" i="14"/>
  <c r="E47" i="14"/>
  <c r="E48" i="14"/>
  <c r="E17" i="14"/>
  <c r="E18" i="14"/>
  <c r="E49" i="14"/>
  <c r="E19" i="14"/>
  <c r="E50" i="14"/>
  <c r="E20" i="14"/>
  <c r="E51" i="14"/>
  <c r="E21" i="14"/>
  <c r="E52" i="14"/>
  <c r="E22" i="14"/>
  <c r="E53" i="14"/>
  <c r="E23" i="14"/>
  <c r="E54" i="14"/>
  <c r="E55" i="14"/>
  <c r="E24" i="14"/>
  <c r="E25" i="14"/>
  <c r="E26" i="14"/>
  <c r="E27" i="14"/>
  <c r="E28" i="14"/>
  <c r="E29" i="14"/>
  <c r="E30" i="14"/>
  <c r="E31" i="14"/>
  <c r="E32" i="14"/>
  <c r="E33" i="14"/>
  <c r="H28" i="14" l="1"/>
  <c r="E68" i="14"/>
  <c r="F68" i="14"/>
  <c r="H68" i="14" s="1"/>
  <c r="R7" i="16"/>
  <c r="B3" i="16"/>
  <c r="E3" i="16" s="1"/>
  <c r="B16" i="16"/>
  <c r="E16" i="16" s="1"/>
  <c r="B17" i="16"/>
  <c r="E17" i="16" s="1"/>
  <c r="B20" i="16"/>
  <c r="E20" i="16" s="1"/>
  <c r="B14" i="16"/>
  <c r="E14" i="16" s="1"/>
  <c r="R4" i="16"/>
  <c r="R5" i="16"/>
  <c r="B19" i="16"/>
  <c r="E19" i="16" s="1"/>
  <c r="B5" i="16"/>
  <c r="E5" i="16" s="1"/>
  <c r="B21" i="16"/>
  <c r="E21" i="16" s="1"/>
  <c r="B2" i="16"/>
  <c r="B18" i="16"/>
  <c r="E18" i="16" s="1"/>
  <c r="B15" i="16"/>
  <c r="E15" i="16" s="1"/>
  <c r="B7" i="16"/>
  <c r="E7" i="16" s="1"/>
  <c r="B9" i="16"/>
  <c r="E9" i="16" s="1"/>
  <c r="B4" i="16"/>
  <c r="E4" i="16" s="1"/>
  <c r="B6" i="16"/>
  <c r="E6" i="16" s="1"/>
  <c r="B22" i="16"/>
  <c r="E22" i="16" s="1"/>
  <c r="B11" i="16"/>
  <c r="E11" i="16" s="1"/>
  <c r="B8" i="16"/>
  <c r="E8" i="16" s="1"/>
  <c r="B13" i="16"/>
  <c r="E13" i="16" s="1"/>
  <c r="B12" i="16"/>
  <c r="E12" i="16" s="1"/>
  <c r="B10" i="16"/>
  <c r="E10" i="16" s="1"/>
  <c r="D2" i="16"/>
  <c r="E2" i="16"/>
  <c r="F69" i="14" l="1"/>
  <c r="H69" i="14" s="1"/>
  <c r="E69" i="14"/>
  <c r="R8" i="16"/>
  <c r="R9" i="16"/>
  <c r="R10" i="16" s="1"/>
  <c r="E70" i="14" l="1"/>
  <c r="F70" i="14"/>
  <c r="H70" i="14" s="1"/>
  <c r="R12" i="16"/>
  <c r="R13" i="16" s="1"/>
  <c r="R11" i="16"/>
  <c r="E71" i="14" l="1"/>
  <c r="F71" i="14"/>
  <c r="H71" i="14" s="1"/>
  <c r="F5" i="16"/>
  <c r="F9" i="16"/>
  <c r="F13" i="16"/>
  <c r="F17" i="16"/>
  <c r="F21" i="16"/>
  <c r="F6" i="16"/>
  <c r="F10" i="16"/>
  <c r="F14" i="16"/>
  <c r="F18" i="16"/>
  <c r="F22" i="16"/>
  <c r="F8" i="16"/>
  <c r="F3" i="16"/>
  <c r="F7" i="16"/>
  <c r="F11" i="16"/>
  <c r="F15" i="16"/>
  <c r="F19" i="16"/>
  <c r="F2" i="16"/>
  <c r="F4" i="16"/>
  <c r="F12" i="16"/>
  <c r="F16" i="16"/>
  <c r="F20" i="16"/>
  <c r="F72" i="14" l="1"/>
  <c r="H72" i="14" s="1"/>
  <c r="E72" i="14"/>
  <c r="F73" i="14" l="1"/>
  <c r="H73" i="14" s="1"/>
  <c r="E73" i="14"/>
  <c r="F74" i="14" l="1"/>
  <c r="H74" i="14" s="1"/>
  <c r="E74" i="14"/>
  <c r="F75" i="14" l="1"/>
  <c r="H75" i="14" s="1"/>
  <c r="E75" i="14"/>
  <c r="F76" i="14" l="1"/>
  <c r="H76" i="14" s="1"/>
  <c r="E76" i="14"/>
  <c r="E77" i="14" l="1"/>
  <c r="F77" i="14"/>
  <c r="H77" i="14" s="1"/>
  <c r="E78" i="14" l="1"/>
  <c r="F78" i="14"/>
  <c r="H78" i="14" s="1"/>
  <c r="F79" i="14" l="1"/>
  <c r="H79" i="14" s="1"/>
  <c r="E79" i="14"/>
  <c r="E80" i="14" l="1"/>
  <c r="F80" i="14"/>
  <c r="H80" i="14" s="1"/>
  <c r="E81" i="14" l="1"/>
  <c r="F81" i="14"/>
  <c r="H81" i="14" s="1"/>
  <c r="F82" i="14" l="1"/>
  <c r="H82" i="14" s="1"/>
  <c r="E82" i="14"/>
  <c r="F83" i="14" l="1"/>
  <c r="H83" i="14" s="1"/>
  <c r="E83" i="14"/>
  <c r="E84" i="14" l="1"/>
  <c r="F84" i="14"/>
  <c r="H84" i="14" s="1"/>
  <c r="F85" i="14" l="1"/>
  <c r="H85" i="14" s="1"/>
  <c r="E85" i="14"/>
  <c r="E86" i="14" l="1"/>
  <c r="F86" i="14"/>
  <c r="H86" i="14" s="1"/>
  <c r="F87" i="14" l="1"/>
  <c r="H87" i="14" s="1"/>
  <c r="E87" i="14"/>
  <c r="E88" i="14" l="1"/>
  <c r="F88" i="14"/>
  <c r="H88" i="14" s="1"/>
  <c r="E89" i="14" l="1"/>
  <c r="F89" i="14"/>
  <c r="H89" i="14" s="1"/>
  <c r="F90" i="14" l="1"/>
  <c r="H90" i="14" s="1"/>
  <c r="E90" i="14"/>
  <c r="E91" i="14" l="1"/>
  <c r="F91" i="14"/>
  <c r="H91" i="14" s="1"/>
  <c r="F92" i="14" l="1"/>
  <c r="H92" i="14" s="1"/>
  <c r="E92" i="14"/>
  <c r="E93" i="14" l="1"/>
  <c r="F93" i="14"/>
  <c r="H93" i="14" s="1"/>
  <c r="F94" i="14" l="1"/>
  <c r="H94" i="14" s="1"/>
  <c r="E94" i="14"/>
  <c r="E95" i="14" l="1"/>
  <c r="F95" i="14"/>
  <c r="H95" i="14" s="1"/>
  <c r="W12" i="14" l="1"/>
  <c r="W10" i="14" l="1"/>
  <c r="W11" i="14"/>
  <c r="W9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<sst xmlns="http://schemas.openxmlformats.org/spreadsheetml/2006/main" count="1560" uniqueCount="1050">
  <si>
    <t>Código</t>
  </si>
  <si>
    <t>Data</t>
  </si>
  <si>
    <t>Último</t>
  </si>
  <si>
    <t>Abertura</t>
  </si>
  <si>
    <t>Máxima</t>
  </si>
  <si>
    <t>Mínima</t>
  </si>
  <si>
    <t>Vol.</t>
  </si>
  <si>
    <t>1,42K</t>
  </si>
  <si>
    <t>0,01K</t>
  </si>
  <si>
    <t>AAPL34</t>
  </si>
  <si>
    <t>7,77M</t>
  </si>
  <si>
    <t>2,76M</t>
  </si>
  <si>
    <t>3,79M</t>
  </si>
  <si>
    <t>4,27M</t>
  </si>
  <si>
    <t>5,57M</t>
  </si>
  <si>
    <t>1,14M</t>
  </si>
  <si>
    <t>1,22M</t>
  </si>
  <si>
    <t>1,01M</t>
  </si>
  <si>
    <t>1,27M</t>
  </si>
  <si>
    <t>2,01M</t>
  </si>
  <si>
    <t>1,89M</t>
  </si>
  <si>
    <t>1,13M</t>
  </si>
  <si>
    <t>1,92M</t>
  </si>
  <si>
    <t>1,82M</t>
  </si>
  <si>
    <t>2,42M</t>
  </si>
  <si>
    <t>2,07M</t>
  </si>
  <si>
    <t>1,73M</t>
  </si>
  <si>
    <t>210,00K</t>
  </si>
  <si>
    <t>1,31M</t>
  </si>
  <si>
    <t>434,00K</t>
  </si>
  <si>
    <t>1,21M</t>
  </si>
  <si>
    <t>481,60K</t>
  </si>
  <si>
    <t>229,60K</t>
  </si>
  <si>
    <t>137,20K</t>
  </si>
  <si>
    <t>2,80K</t>
  </si>
  <si>
    <t>ABEV3</t>
  </si>
  <si>
    <t>491,79M</t>
  </si>
  <si>
    <t>497,21M</t>
  </si>
  <si>
    <t>343,30M</t>
  </si>
  <si>
    <t>540,09M</t>
  </si>
  <si>
    <t>219,45M</t>
  </si>
  <si>
    <t>215,26M</t>
  </si>
  <si>
    <t>261,12M</t>
  </si>
  <si>
    <t>253,25M</t>
  </si>
  <si>
    <t>223,76M</t>
  </si>
  <si>
    <t>7,00M</t>
  </si>
  <si>
    <t>3,98M</t>
  </si>
  <si>
    <t>4,68M</t>
  </si>
  <si>
    <t>2,15M</t>
  </si>
  <si>
    <t>3,74M</t>
  </si>
  <si>
    <t>2,54M</t>
  </si>
  <si>
    <t>6,21M</t>
  </si>
  <si>
    <t>3,06M</t>
  </si>
  <si>
    <t>2,96M</t>
  </si>
  <si>
    <t>5,23M</t>
  </si>
  <si>
    <t>6,13M</t>
  </si>
  <si>
    <t>3,33M</t>
  </si>
  <si>
    <t>6,66K</t>
  </si>
  <si>
    <t>1,91K</t>
  </si>
  <si>
    <t>0,65K</t>
  </si>
  <si>
    <t>0,95K</t>
  </si>
  <si>
    <t>0,85K</t>
  </si>
  <si>
    <t>1,46K</t>
  </si>
  <si>
    <t>0,03K</t>
  </si>
  <si>
    <t>0,05K</t>
  </si>
  <si>
    <t>ADBE34</t>
  </si>
  <si>
    <t>1,08M</t>
  </si>
  <si>
    <t>343,46K</t>
  </si>
  <si>
    <t>146,00K</t>
  </si>
  <si>
    <t>120,00K</t>
  </si>
  <si>
    <t>AMZO34</t>
  </si>
  <si>
    <t>2,91M</t>
  </si>
  <si>
    <t>565,19K</t>
  </si>
  <si>
    <t>745,74K</t>
  </si>
  <si>
    <t>1,38M</t>
  </si>
  <si>
    <t>612,29K</t>
  </si>
  <si>
    <t>259,05K</t>
  </si>
  <si>
    <t>698,64K</t>
  </si>
  <si>
    <t>1,17M</t>
  </si>
  <si>
    <t>1,00M</t>
  </si>
  <si>
    <t>62,80K</t>
  </si>
  <si>
    <t>2,72M</t>
  </si>
  <si>
    <t>ARZZ3</t>
  </si>
  <si>
    <t>24,48M</t>
  </si>
  <si>
    <t>12,23M</t>
  </si>
  <si>
    <t>14,37M</t>
  </si>
  <si>
    <t>15,10M</t>
  </si>
  <si>
    <t>15,30M</t>
  </si>
  <si>
    <t>9,25M</t>
  </si>
  <si>
    <t>5,56M</t>
  </si>
  <si>
    <t>10,65M</t>
  </si>
  <si>
    <t>2,10M</t>
  </si>
  <si>
    <t>7,50M</t>
  </si>
  <si>
    <t>4,81M</t>
  </si>
  <si>
    <t>2,04M</t>
  </si>
  <si>
    <t>8,66M</t>
  </si>
  <si>
    <t>3,50M</t>
  </si>
  <si>
    <t>2,00M</t>
  </si>
  <si>
    <t>B3SA3</t>
  </si>
  <si>
    <t>1,13B</t>
  </si>
  <si>
    <t>654,82M</t>
  </si>
  <si>
    <t>898,15M</t>
  </si>
  <si>
    <t>844,13M</t>
  </si>
  <si>
    <t>571,03M</t>
  </si>
  <si>
    <t>1,02B</t>
  </si>
  <si>
    <t>782,35M</t>
  </si>
  <si>
    <t>706,86M</t>
  </si>
  <si>
    <t>702,36M</t>
  </si>
  <si>
    <t>883,33M</t>
  </si>
  <si>
    <t>746,54M</t>
  </si>
  <si>
    <t>726,37M</t>
  </si>
  <si>
    <t>876,81M</t>
  </si>
  <si>
    <t>712,80M</t>
  </si>
  <si>
    <t>BABA34</t>
  </si>
  <si>
    <t>36,22M</t>
  </si>
  <si>
    <t>5,69M</t>
  </si>
  <si>
    <t>627,21K</t>
  </si>
  <si>
    <t>BBAS3</t>
  </si>
  <si>
    <t>283,72M</t>
  </si>
  <si>
    <t>424,65M</t>
  </si>
  <si>
    <t>286,51M</t>
  </si>
  <si>
    <t>224,20M</t>
  </si>
  <si>
    <t>219,74M</t>
  </si>
  <si>
    <t>137,39M</t>
  </si>
  <si>
    <t>135,79M</t>
  </si>
  <si>
    <t>116,05M</t>
  </si>
  <si>
    <t>132,51M</t>
  </si>
  <si>
    <t>153,63M</t>
  </si>
  <si>
    <t>148,90M</t>
  </si>
  <si>
    <t>91,11M</t>
  </si>
  <si>
    <t>51,67M</t>
  </si>
  <si>
    <t>95,73M</t>
  </si>
  <si>
    <t>73,12M</t>
  </si>
  <si>
    <t>53,74M</t>
  </si>
  <si>
    <t>36,01M</t>
  </si>
  <si>
    <t>18,66M</t>
  </si>
  <si>
    <t>17,55M</t>
  </si>
  <si>
    <t>8,36M</t>
  </si>
  <si>
    <t>15,50M</t>
  </si>
  <si>
    <t>12,95M</t>
  </si>
  <si>
    <t>20,30M</t>
  </si>
  <si>
    <t>3,41M</t>
  </si>
  <si>
    <t>6,03M</t>
  </si>
  <si>
    <t>1,57M</t>
  </si>
  <si>
    <t>2,59M</t>
  </si>
  <si>
    <t>2,09M</t>
  </si>
  <si>
    <t>664,64K</t>
  </si>
  <si>
    <t>1,05M</t>
  </si>
  <si>
    <t>1,09M</t>
  </si>
  <si>
    <t>1,43M</t>
  </si>
  <si>
    <t>BBDC3</t>
  </si>
  <si>
    <t>152,44M</t>
  </si>
  <si>
    <t>113,41M</t>
  </si>
  <si>
    <t>61,03M</t>
  </si>
  <si>
    <t>73,32M</t>
  </si>
  <si>
    <t>39,16M</t>
  </si>
  <si>
    <t>44,61M</t>
  </si>
  <si>
    <t>46,01M</t>
  </si>
  <si>
    <t>54,99M</t>
  </si>
  <si>
    <t>69,57M</t>
  </si>
  <si>
    <t>30,75M</t>
  </si>
  <si>
    <t>20,24M</t>
  </si>
  <si>
    <t>20,01M</t>
  </si>
  <si>
    <t>5,45M</t>
  </si>
  <si>
    <t>5,20M</t>
  </si>
  <si>
    <t>7,06M</t>
  </si>
  <si>
    <t>10,24M</t>
  </si>
  <si>
    <t>14,47M</t>
  </si>
  <si>
    <t>22,55M</t>
  </si>
  <si>
    <t>20,89M</t>
  </si>
  <si>
    <t>28,39M</t>
  </si>
  <si>
    <t>4,11M</t>
  </si>
  <si>
    <t>2,49M</t>
  </si>
  <si>
    <t>1,86M</t>
  </si>
  <si>
    <t>861,81K</t>
  </si>
  <si>
    <t>731,55K</t>
  </si>
  <si>
    <t>1,24M</t>
  </si>
  <si>
    <t>1,65M</t>
  </si>
  <si>
    <t>BKNG34</t>
  </si>
  <si>
    <t>395,49K</t>
  </si>
  <si>
    <t>68,60K</t>
  </si>
  <si>
    <t>4,76M</t>
  </si>
  <si>
    <t>11,04M</t>
  </si>
  <si>
    <t>DISB34</t>
  </si>
  <si>
    <t>718,50K</t>
  </si>
  <si>
    <t>172,50K</t>
  </si>
  <si>
    <t>367,50K</t>
  </si>
  <si>
    <t>195,00K</t>
  </si>
  <si>
    <t>198,00K</t>
  </si>
  <si>
    <t>417,00K</t>
  </si>
  <si>
    <t>711,00K</t>
  </si>
  <si>
    <t>121,50K</t>
  </si>
  <si>
    <t>567,00K</t>
  </si>
  <si>
    <t>25,50K</t>
  </si>
  <si>
    <t>127,50K</t>
  </si>
  <si>
    <t>EGIE3</t>
  </si>
  <si>
    <t>26,16M</t>
  </si>
  <si>
    <t>30,98M</t>
  </si>
  <si>
    <t>28,52M</t>
  </si>
  <si>
    <t>24,84M</t>
  </si>
  <si>
    <t>32,53M</t>
  </si>
  <si>
    <t>21,30M</t>
  </si>
  <si>
    <t>22,78M</t>
  </si>
  <si>
    <t>21,85M</t>
  </si>
  <si>
    <t>13,68M</t>
  </si>
  <si>
    <t>19,65M</t>
  </si>
  <si>
    <t>14,78M</t>
  </si>
  <si>
    <t>12,89M</t>
  </si>
  <si>
    <t>18,05M</t>
  </si>
  <si>
    <t>18,07M</t>
  </si>
  <si>
    <t>11,58M</t>
  </si>
  <si>
    <t>21,52M</t>
  </si>
  <si>
    <t>20,65M</t>
  </si>
  <si>
    <t>1,30M</t>
  </si>
  <si>
    <t>FLRY3</t>
  </si>
  <si>
    <t>49,02M</t>
  </si>
  <si>
    <t>35,60M</t>
  </si>
  <si>
    <t>40,24M</t>
  </si>
  <si>
    <t>46,65M</t>
  </si>
  <si>
    <t>38,00M</t>
  </si>
  <si>
    <t>28,79M</t>
  </si>
  <si>
    <t>7,08M</t>
  </si>
  <si>
    <t>5,48M</t>
  </si>
  <si>
    <t>16,73M</t>
  </si>
  <si>
    <t>15,65M</t>
  </si>
  <si>
    <t>11,78M</t>
  </si>
  <si>
    <t>6,57M</t>
  </si>
  <si>
    <t>10,78M</t>
  </si>
  <si>
    <t>GGBR3</t>
  </si>
  <si>
    <t>1,07M</t>
  </si>
  <si>
    <t>1,50M</t>
  </si>
  <si>
    <t>1,66M</t>
  </si>
  <si>
    <t>5,68M</t>
  </si>
  <si>
    <t>8,58M</t>
  </si>
  <si>
    <t>10,12M</t>
  </si>
  <si>
    <t>1,10M</t>
  </si>
  <si>
    <t>3,73M</t>
  </si>
  <si>
    <t>2,89M</t>
  </si>
  <si>
    <t>6,97M</t>
  </si>
  <si>
    <t>4,13M</t>
  </si>
  <si>
    <t>2,70M</t>
  </si>
  <si>
    <t>893,99K</t>
  </si>
  <si>
    <t>216,34K</t>
  </si>
  <si>
    <t>44,87K</t>
  </si>
  <si>
    <t>49,70K</t>
  </si>
  <si>
    <t>25,31K</t>
  </si>
  <si>
    <t>14,65K</t>
  </si>
  <si>
    <t>5,45K</t>
  </si>
  <si>
    <t>0,56K</t>
  </si>
  <si>
    <t>16,64K</t>
  </si>
  <si>
    <t>GOGL34</t>
  </si>
  <si>
    <t>766,20K</t>
  </si>
  <si>
    <t>691,80K</t>
  </si>
  <si>
    <t>810,60K</t>
  </si>
  <si>
    <t>256,80K</t>
  </si>
  <si>
    <t>HAPV3</t>
  </si>
  <si>
    <t>635,15M</t>
  </si>
  <si>
    <t>280,65M</t>
  </si>
  <si>
    <t>314,40M</t>
  </si>
  <si>
    <t>127,01M</t>
  </si>
  <si>
    <t>126,21M</t>
  </si>
  <si>
    <t>1,26M</t>
  </si>
  <si>
    <t>HOME34</t>
  </si>
  <si>
    <t>624,82K</t>
  </si>
  <si>
    <t>313,60K</t>
  </si>
  <si>
    <t>499,80K</t>
  </si>
  <si>
    <t>165,20K</t>
  </si>
  <si>
    <t>42,00K</t>
  </si>
  <si>
    <t>191,80K</t>
  </si>
  <si>
    <t>ITUB3</t>
  </si>
  <si>
    <t>22,93M</t>
  </si>
  <si>
    <t>14,44M</t>
  </si>
  <si>
    <t>11,43M</t>
  </si>
  <si>
    <t>21,03M</t>
  </si>
  <si>
    <t>6,64M</t>
  </si>
  <si>
    <t>4,07M</t>
  </si>
  <si>
    <t>7,99M</t>
  </si>
  <si>
    <t>4,51M</t>
  </si>
  <si>
    <t>5,27M</t>
  </si>
  <si>
    <t>9,50M</t>
  </si>
  <si>
    <t>17,93M</t>
  </si>
  <si>
    <t>12,51M</t>
  </si>
  <si>
    <t>19,29M</t>
  </si>
  <si>
    <t>430,71K</t>
  </si>
  <si>
    <t>621,90K</t>
  </si>
  <si>
    <t>0,69K</t>
  </si>
  <si>
    <t>5,89M</t>
  </si>
  <si>
    <t>7,88M</t>
  </si>
  <si>
    <t>374,38K</t>
  </si>
  <si>
    <t>1,61M</t>
  </si>
  <si>
    <t>JPMC34</t>
  </si>
  <si>
    <t>606,20K</t>
  </si>
  <si>
    <t>201,00K</t>
  </si>
  <si>
    <t>150,50K</t>
  </si>
  <si>
    <t>99,00K</t>
  </si>
  <si>
    <t>188,00K</t>
  </si>
  <si>
    <t>302,00K</t>
  </si>
  <si>
    <t>620,00K</t>
  </si>
  <si>
    <t>36,50K</t>
  </si>
  <si>
    <t>LREN3</t>
  </si>
  <si>
    <t>278,87M</t>
  </si>
  <si>
    <t>162,09M</t>
  </si>
  <si>
    <t>95,25M</t>
  </si>
  <si>
    <t>105,58M</t>
  </si>
  <si>
    <t>59,67M</t>
  </si>
  <si>
    <t>66,09M</t>
  </si>
  <si>
    <t>93,41M</t>
  </si>
  <si>
    <t>115,17M</t>
  </si>
  <si>
    <t>154,47M</t>
  </si>
  <si>
    <t>87,02M</t>
  </si>
  <si>
    <t>130,62M</t>
  </si>
  <si>
    <t>162,98M</t>
  </si>
  <si>
    <t>125,62M</t>
  </si>
  <si>
    <t>157,30M</t>
  </si>
  <si>
    <t>149,74M</t>
  </si>
  <si>
    <t>97,10M</t>
  </si>
  <si>
    <t>94,60K</t>
  </si>
  <si>
    <t>10,63M</t>
  </si>
  <si>
    <t>MCDC34</t>
  </si>
  <si>
    <t>537,92K</t>
  </si>
  <si>
    <t>281,56K</t>
  </si>
  <si>
    <t>169,00K</t>
  </si>
  <si>
    <t>115,50K</t>
  </si>
  <si>
    <t>354,50K</t>
  </si>
  <si>
    <t>227,50K</t>
  </si>
  <si>
    <t>33,00K</t>
  </si>
  <si>
    <t>MSFT34</t>
  </si>
  <si>
    <t>10,27M</t>
  </si>
  <si>
    <t>3,94M</t>
  </si>
  <si>
    <t>938,39K</t>
  </si>
  <si>
    <t>755,99K</t>
  </si>
  <si>
    <t>292,80K</t>
  </si>
  <si>
    <t>355,20K</t>
  </si>
  <si>
    <t>772,79K</t>
  </si>
  <si>
    <t>19,20K</t>
  </si>
  <si>
    <t>NFLX34</t>
  </si>
  <si>
    <t>805,19K</t>
  </si>
  <si>
    <t>355,00K</t>
  </si>
  <si>
    <t>300,00K</t>
  </si>
  <si>
    <t>35,00K</t>
  </si>
  <si>
    <t>25,00K</t>
  </si>
  <si>
    <t>390,00K</t>
  </si>
  <si>
    <t>420,00K</t>
  </si>
  <si>
    <t>NIKE34</t>
  </si>
  <si>
    <t>602,08K</t>
  </si>
  <si>
    <t>335,35K</t>
  </si>
  <si>
    <t>36,00K</t>
  </si>
  <si>
    <t>179,00K</t>
  </si>
  <si>
    <t>876,00K</t>
  </si>
  <si>
    <t>204,00K</t>
  </si>
  <si>
    <t>554,00K</t>
  </si>
  <si>
    <t>98,00K</t>
  </si>
  <si>
    <t>286,00K</t>
  </si>
  <si>
    <t>NVDC34</t>
  </si>
  <si>
    <t>19,89M</t>
  </si>
  <si>
    <t>614,40K</t>
  </si>
  <si>
    <t>ODPV3</t>
  </si>
  <si>
    <t>38,33M</t>
  </si>
  <si>
    <t>17,96M</t>
  </si>
  <si>
    <t>24,33M</t>
  </si>
  <si>
    <t>36,89M</t>
  </si>
  <si>
    <t>14,70M</t>
  </si>
  <si>
    <t>21,58M</t>
  </si>
  <si>
    <t>29,36M</t>
  </si>
  <si>
    <t>34,96M</t>
  </si>
  <si>
    <t>42,99M</t>
  </si>
  <si>
    <t>24,04M</t>
  </si>
  <si>
    <t>33,64M</t>
  </si>
  <si>
    <t>34,32M</t>
  </si>
  <si>
    <t>34,43M</t>
  </si>
  <si>
    <t>PETR3</t>
  </si>
  <si>
    <t>462,56M</t>
  </si>
  <si>
    <t>309,77M</t>
  </si>
  <si>
    <t>252,64M</t>
  </si>
  <si>
    <t>192,99M</t>
  </si>
  <si>
    <t>184,32M</t>
  </si>
  <si>
    <t>294,24M</t>
  </si>
  <si>
    <t>484,28M</t>
  </si>
  <si>
    <t>207,14M</t>
  </si>
  <si>
    <t>160,55M</t>
  </si>
  <si>
    <t>130,71M</t>
  </si>
  <si>
    <t>115,08M</t>
  </si>
  <si>
    <t>69,61M</t>
  </si>
  <si>
    <t>71,72M</t>
  </si>
  <si>
    <t>82,91M</t>
  </si>
  <si>
    <t>71,65M</t>
  </si>
  <si>
    <t>45,54M</t>
  </si>
  <si>
    <t>186,40M</t>
  </si>
  <si>
    <t>201,75M</t>
  </si>
  <si>
    <t>191,77M</t>
  </si>
  <si>
    <t>172,15M</t>
  </si>
  <si>
    <t>288,07M</t>
  </si>
  <si>
    <t>501,17K</t>
  </si>
  <si>
    <t>726,85K</t>
  </si>
  <si>
    <t>PRIO3</t>
  </si>
  <si>
    <t>456,21M</t>
  </si>
  <si>
    <t>111,19M</t>
  </si>
  <si>
    <t>69,53M</t>
  </si>
  <si>
    <t>13,38M</t>
  </si>
  <si>
    <t>28,82M</t>
  </si>
  <si>
    <t>9,12M</t>
  </si>
  <si>
    <t>40,67M</t>
  </si>
  <si>
    <t>78,99M</t>
  </si>
  <si>
    <t>18,94M</t>
  </si>
  <si>
    <t>PSSA3</t>
  </si>
  <si>
    <t>48,86M</t>
  </si>
  <si>
    <t>49,14M</t>
  </si>
  <si>
    <t>27,19M</t>
  </si>
  <si>
    <t>35,43M</t>
  </si>
  <si>
    <t>19,92M</t>
  </si>
  <si>
    <t>19,80M</t>
  </si>
  <si>
    <t>16,79M</t>
  </si>
  <si>
    <t>30,65M</t>
  </si>
  <si>
    <t>18,13M</t>
  </si>
  <si>
    <t>20,97M</t>
  </si>
  <si>
    <t>33,28M</t>
  </si>
  <si>
    <t>12,70M</t>
  </si>
  <si>
    <t>21,89M</t>
  </si>
  <si>
    <t>18,69M</t>
  </si>
  <si>
    <t>45,30M</t>
  </si>
  <si>
    <t>8,38M</t>
  </si>
  <si>
    <t>SAPP34</t>
  </si>
  <si>
    <t>5,82K</t>
  </si>
  <si>
    <t>7,70K</t>
  </si>
  <si>
    <t>11,10K</t>
  </si>
  <si>
    <t>SIMN34</t>
  </si>
  <si>
    <t>60,57K</t>
  </si>
  <si>
    <t>16,14K</t>
  </si>
  <si>
    <t>1,70K</t>
  </si>
  <si>
    <t>TAEE3</t>
  </si>
  <si>
    <t>596,80K</t>
  </si>
  <si>
    <t>124,20K</t>
  </si>
  <si>
    <t>8,60K</t>
  </si>
  <si>
    <t>TOTS3</t>
  </si>
  <si>
    <t>106,52M</t>
  </si>
  <si>
    <t>91,72M</t>
  </si>
  <si>
    <t>137,45M</t>
  </si>
  <si>
    <t>55,06M</t>
  </si>
  <si>
    <t>36,91M</t>
  </si>
  <si>
    <t>29,33M</t>
  </si>
  <si>
    <t>36,42M</t>
  </si>
  <si>
    <t>47,66M</t>
  </si>
  <si>
    <t>32,77M</t>
  </si>
  <si>
    <t>25,99M</t>
  </si>
  <si>
    <t>23,63M</t>
  </si>
  <si>
    <t>25,13M</t>
  </si>
  <si>
    <t>23,21M</t>
  </si>
  <si>
    <t>TSLA34</t>
  </si>
  <si>
    <t>872,00K</t>
  </si>
  <si>
    <t>700,00K</t>
  </si>
  <si>
    <t>TSMC34</t>
  </si>
  <si>
    <t>591,23K</t>
  </si>
  <si>
    <t>VIVA3</t>
  </si>
  <si>
    <t>27,43M</t>
  </si>
  <si>
    <t>18,84M</t>
  </si>
  <si>
    <t>28,74M</t>
  </si>
  <si>
    <t>WEGE3</t>
  </si>
  <si>
    <t>172,80M</t>
  </si>
  <si>
    <t>242,39M</t>
  </si>
  <si>
    <t>202,59M</t>
  </si>
  <si>
    <t>141,77M</t>
  </si>
  <si>
    <t>100,47M</t>
  </si>
  <si>
    <t>100,40M</t>
  </si>
  <si>
    <t>110,14M</t>
  </si>
  <si>
    <t>61,68M</t>
  </si>
  <si>
    <t>70,76M</t>
  </si>
  <si>
    <t>68,96M</t>
  </si>
  <si>
    <t>57,71M</t>
  </si>
  <si>
    <t>42,35M</t>
  </si>
  <si>
    <t>35,77M</t>
  </si>
  <si>
    <t>67,99M</t>
  </si>
  <si>
    <t>12,74K</t>
  </si>
  <si>
    <t>Mês</t>
  </si>
  <si>
    <t>Ano</t>
  </si>
  <si>
    <t>Aux</t>
  </si>
  <si>
    <t>AAPL342011</t>
  </si>
  <si>
    <t>AAPL342012</t>
  </si>
  <si>
    <t>AAPL342013</t>
  </si>
  <si>
    <t>AAPL342014</t>
  </si>
  <si>
    <t>AAPL342015</t>
  </si>
  <si>
    <t>AAPL342016</t>
  </si>
  <si>
    <t>AAPL342017</t>
  </si>
  <si>
    <t>AAPL342018</t>
  </si>
  <si>
    <t>AAPL342019</t>
  </si>
  <si>
    <t>AAPL342020</t>
  </si>
  <si>
    <t>AAPL342021</t>
  </si>
  <si>
    <t>AAPL342022</t>
  </si>
  <si>
    <t>ABEV32000</t>
  </si>
  <si>
    <t>ABEV32001</t>
  </si>
  <si>
    <t>ABEV32002</t>
  </si>
  <si>
    <t>ABEV32003</t>
  </si>
  <si>
    <t>ABEV32004</t>
  </si>
  <si>
    <t>ABEV32005</t>
  </si>
  <si>
    <t>ABEV32006</t>
  </si>
  <si>
    <t>ABEV32007</t>
  </si>
  <si>
    <t>ABEV32008</t>
  </si>
  <si>
    <t>ABEV32009</t>
  </si>
  <si>
    <t>ABEV32010</t>
  </si>
  <si>
    <t>ABEV32011</t>
  </si>
  <si>
    <t>ABEV32012</t>
  </si>
  <si>
    <t>ABEV32013</t>
  </si>
  <si>
    <t>ABEV32014</t>
  </si>
  <si>
    <t>ABEV32015</t>
  </si>
  <si>
    <t>ABEV32016</t>
  </si>
  <si>
    <t>ABEV32017</t>
  </si>
  <si>
    <t>ABEV32018</t>
  </si>
  <si>
    <t>ABEV32019</t>
  </si>
  <si>
    <t>ABEV32020</t>
  </si>
  <si>
    <t>ABEV32021</t>
  </si>
  <si>
    <t>ABEV32022</t>
  </si>
  <si>
    <t>ADBE342020</t>
  </si>
  <si>
    <t>ADBE342021</t>
  </si>
  <si>
    <t>ADBE342022</t>
  </si>
  <si>
    <t>AMZO342013</t>
  </si>
  <si>
    <t>AMZO342014</t>
  </si>
  <si>
    <t>AMZO342015</t>
  </si>
  <si>
    <t>AMZO342016</t>
  </si>
  <si>
    <t>AMZO342017</t>
  </si>
  <si>
    <t>AMZO342018</t>
  </si>
  <si>
    <t>AMZO342019</t>
  </si>
  <si>
    <t>AMZO342020</t>
  </si>
  <si>
    <t>AMZO342021</t>
  </si>
  <si>
    <t>AMZO342022</t>
  </si>
  <si>
    <t>ARZZ32012</t>
  </si>
  <si>
    <t>ARZZ32013</t>
  </si>
  <si>
    <t>ARZZ32014</t>
  </si>
  <si>
    <t>ARZZ32015</t>
  </si>
  <si>
    <t>ARZZ32016</t>
  </si>
  <si>
    <t>ARZZ32017</t>
  </si>
  <si>
    <t>ARZZ32018</t>
  </si>
  <si>
    <t>ARZZ32019</t>
  </si>
  <si>
    <t>ARZZ32020</t>
  </si>
  <si>
    <t>ARZZ32021</t>
  </si>
  <si>
    <t>ARZZ32022</t>
  </si>
  <si>
    <t>B3SA32009</t>
  </si>
  <si>
    <t>B3SA32010</t>
  </si>
  <si>
    <t>B3SA32011</t>
  </si>
  <si>
    <t>B3SA32012</t>
  </si>
  <si>
    <t>B3SA32013</t>
  </si>
  <si>
    <t>B3SA32014</t>
  </si>
  <si>
    <t>B3SA32015</t>
  </si>
  <si>
    <t>B3SA32016</t>
  </si>
  <si>
    <t>B3SA32017</t>
  </si>
  <si>
    <t>B3SA32018</t>
  </si>
  <si>
    <t>B3SA32019</t>
  </si>
  <si>
    <t>B3SA32020</t>
  </si>
  <si>
    <t>B3SA32021</t>
  </si>
  <si>
    <t>B3SA32022</t>
  </si>
  <si>
    <t>BABA342020</t>
  </si>
  <si>
    <t>BABA342021</t>
  </si>
  <si>
    <t>BABA342022</t>
  </si>
  <si>
    <t>BBAS31997</t>
  </si>
  <si>
    <t>BBAS31998</t>
  </si>
  <si>
    <t>BBAS31999</t>
  </si>
  <si>
    <t>BBAS32000</t>
  </si>
  <si>
    <t>BBAS32001</t>
  </si>
  <si>
    <t>BBAS32002</t>
  </si>
  <si>
    <t>BBAS32003</t>
  </si>
  <si>
    <t>BBAS32004</t>
  </si>
  <si>
    <t>BBAS32005</t>
  </si>
  <si>
    <t>BBAS32006</t>
  </si>
  <si>
    <t>BBAS32007</t>
  </si>
  <si>
    <t>BBAS32008</t>
  </si>
  <si>
    <t>BBAS32009</t>
  </si>
  <si>
    <t>BBAS32010</t>
  </si>
  <si>
    <t>BBAS32011</t>
  </si>
  <si>
    <t>BBAS32012</t>
  </si>
  <si>
    <t>BBAS32013</t>
  </si>
  <si>
    <t>BBAS32014</t>
  </si>
  <si>
    <t>BBAS32015</t>
  </si>
  <si>
    <t>BBAS32016</t>
  </si>
  <si>
    <t>BBAS32017</t>
  </si>
  <si>
    <t>BBAS32018</t>
  </si>
  <si>
    <t>BBAS32019</t>
  </si>
  <si>
    <t>BBAS32020</t>
  </si>
  <si>
    <t>BBAS32021</t>
  </si>
  <si>
    <t>BBAS32022</t>
  </si>
  <si>
    <t>BBDC31997</t>
  </si>
  <si>
    <t>BBDC31998</t>
  </si>
  <si>
    <t>BBDC31999</t>
  </si>
  <si>
    <t>BBDC32000</t>
  </si>
  <si>
    <t>BBDC32001</t>
  </si>
  <si>
    <t>BBDC32002</t>
  </si>
  <si>
    <t>BBDC32003</t>
  </si>
  <si>
    <t>BBDC32004</t>
  </si>
  <si>
    <t>BBDC32005</t>
  </si>
  <si>
    <t>BBDC32006</t>
  </si>
  <si>
    <t>BBDC32007</t>
  </si>
  <si>
    <t>BBDC32008</t>
  </si>
  <si>
    <t>BBDC32009</t>
  </si>
  <si>
    <t>BBDC32010</t>
  </si>
  <si>
    <t>BBDC32011</t>
  </si>
  <si>
    <t>BBDC32012</t>
  </si>
  <si>
    <t>BBDC32013</t>
  </si>
  <si>
    <t>BBDC32014</t>
  </si>
  <si>
    <t>BBDC32015</t>
  </si>
  <si>
    <t>BBDC32016</t>
  </si>
  <si>
    <t>BBDC32017</t>
  </si>
  <si>
    <t>BBDC32018</t>
  </si>
  <si>
    <t>BBDC32019</t>
  </si>
  <si>
    <t>BBDC32020</t>
  </si>
  <si>
    <t>BBDC32021</t>
  </si>
  <si>
    <t>BBDC32022</t>
  </si>
  <si>
    <t>BKNG342020</t>
  </si>
  <si>
    <t>BKNG342021</t>
  </si>
  <si>
    <t>BKNG342022</t>
  </si>
  <si>
    <t>DISB342012</t>
  </si>
  <si>
    <t>DISB342013</t>
  </si>
  <si>
    <t>DISB342014</t>
  </si>
  <si>
    <t>DISB342015</t>
  </si>
  <si>
    <t>DISB342016</t>
  </si>
  <si>
    <t>DISB342017</t>
  </si>
  <si>
    <t>DISB342018</t>
  </si>
  <si>
    <t>DISB342019</t>
  </si>
  <si>
    <t>DISB342020</t>
  </si>
  <si>
    <t>DISB342021</t>
  </si>
  <si>
    <t>DISB342022</t>
  </si>
  <si>
    <t>EGIE32006</t>
  </si>
  <si>
    <t>EGIE32007</t>
  </si>
  <si>
    <t>EGIE32008</t>
  </si>
  <si>
    <t>EGIE32009</t>
  </si>
  <si>
    <t>EGIE32010</t>
  </si>
  <si>
    <t>EGIE32011</t>
  </si>
  <si>
    <t>EGIE32012</t>
  </si>
  <si>
    <t>EGIE32013</t>
  </si>
  <si>
    <t>EGIE32014</t>
  </si>
  <si>
    <t>EGIE32015</t>
  </si>
  <si>
    <t>EGIE32016</t>
  </si>
  <si>
    <t>EGIE32017</t>
  </si>
  <si>
    <t>EGIE32018</t>
  </si>
  <si>
    <t>EGIE32019</t>
  </si>
  <si>
    <t>EGIE32020</t>
  </si>
  <si>
    <t>EGIE32021</t>
  </si>
  <si>
    <t>EGIE32022</t>
  </si>
  <si>
    <t>FLRY32010</t>
  </si>
  <si>
    <t>FLRY32011</t>
  </si>
  <si>
    <t>FLRY32012</t>
  </si>
  <si>
    <t>FLRY32013</t>
  </si>
  <si>
    <t>FLRY32014</t>
  </si>
  <si>
    <t>FLRY32015</t>
  </si>
  <si>
    <t>FLRY32016</t>
  </si>
  <si>
    <t>FLRY32017</t>
  </si>
  <si>
    <t>FLRY32018</t>
  </si>
  <si>
    <t>FLRY32019</t>
  </si>
  <si>
    <t>FLRY32020</t>
  </si>
  <si>
    <t>FLRY32021</t>
  </si>
  <si>
    <t>FLRY32022</t>
  </si>
  <si>
    <t>GGBR31997</t>
  </si>
  <si>
    <t>GGBR31999</t>
  </si>
  <si>
    <t>GGBR32000</t>
  </si>
  <si>
    <t>GGBR32001</t>
  </si>
  <si>
    <t>GGBR32002</t>
  </si>
  <si>
    <t>GGBR32003</t>
  </si>
  <si>
    <t>GGBR32004</t>
  </si>
  <si>
    <t>GGBR32005</t>
  </si>
  <si>
    <t>GGBR32006</t>
  </si>
  <si>
    <t>GGBR32007</t>
  </si>
  <si>
    <t>GGBR32008</t>
  </si>
  <si>
    <t>GGBR32009</t>
  </si>
  <si>
    <t>GGBR32010</t>
  </si>
  <si>
    <t>GGBR32011</t>
  </si>
  <si>
    <t>GGBR32012</t>
  </si>
  <si>
    <t>GGBR32013</t>
  </si>
  <si>
    <t>GGBR32014</t>
  </si>
  <si>
    <t>GGBR32015</t>
  </si>
  <si>
    <t>GGBR32016</t>
  </si>
  <si>
    <t>GGBR32017</t>
  </si>
  <si>
    <t>GGBR32018</t>
  </si>
  <si>
    <t>GGBR32019</t>
  </si>
  <si>
    <t>GGBR32020</t>
  </si>
  <si>
    <t>GGBR32021</t>
  </si>
  <si>
    <t>GGBR32022</t>
  </si>
  <si>
    <t>GOGL342017</t>
  </si>
  <si>
    <t>GOGL342018</t>
  </si>
  <si>
    <t>GOGL342019</t>
  </si>
  <si>
    <t>GOGL342020</t>
  </si>
  <si>
    <t>GOGL342021</t>
  </si>
  <si>
    <t>GOGL342022</t>
  </si>
  <si>
    <t>HAPV32019</t>
  </si>
  <si>
    <t>HAPV32020</t>
  </si>
  <si>
    <t>HAPV32021</t>
  </si>
  <si>
    <t>HAPV32022</t>
  </si>
  <si>
    <t>HOME342013</t>
  </si>
  <si>
    <t>HOME342014</t>
  </si>
  <si>
    <t>HOME342015</t>
  </si>
  <si>
    <t>HOME342016</t>
  </si>
  <si>
    <t>HOME342017</t>
  </si>
  <si>
    <t>HOME342018</t>
  </si>
  <si>
    <t>HOME342019</t>
  </si>
  <si>
    <t>HOME342020</t>
  </si>
  <si>
    <t>HOME342021</t>
  </si>
  <si>
    <t>HOME342022</t>
  </si>
  <si>
    <t>ITUB31997</t>
  </si>
  <si>
    <t>ITUB31998</t>
  </si>
  <si>
    <t>ITUB31999</t>
  </si>
  <si>
    <t>ITUB32000</t>
  </si>
  <si>
    <t>ITUB32001</t>
  </si>
  <si>
    <t>ITUB32002</t>
  </si>
  <si>
    <t>ITUB32003</t>
  </si>
  <si>
    <t>ITUB32004</t>
  </si>
  <si>
    <t>ITUB32005</t>
  </si>
  <si>
    <t>ITUB32006</t>
  </si>
  <si>
    <t>ITUB32007</t>
  </si>
  <si>
    <t>ITUB32008</t>
  </si>
  <si>
    <t>ITUB32009</t>
  </si>
  <si>
    <t>ITUB32010</t>
  </si>
  <si>
    <t>ITUB32011</t>
  </si>
  <si>
    <t>ITUB32012</t>
  </si>
  <si>
    <t>ITUB32013</t>
  </si>
  <si>
    <t>ITUB32014</t>
  </si>
  <si>
    <t>ITUB32015</t>
  </si>
  <si>
    <t>ITUB32016</t>
  </si>
  <si>
    <t>ITUB32017</t>
  </si>
  <si>
    <t>ITUB32018</t>
  </si>
  <si>
    <t>ITUB32019</t>
  </si>
  <si>
    <t>ITUB32020</t>
  </si>
  <si>
    <t>ITUB32021</t>
  </si>
  <si>
    <t>ITUB32022</t>
  </si>
  <si>
    <t>JPMC342013</t>
  </si>
  <si>
    <t>JPMC342014</t>
  </si>
  <si>
    <t>JPMC342015</t>
  </si>
  <si>
    <t>JPMC342016</t>
  </si>
  <si>
    <t>JPMC342017</t>
  </si>
  <si>
    <t>JPMC342018</t>
  </si>
  <si>
    <t>JPMC342019</t>
  </si>
  <si>
    <t>JPMC342020</t>
  </si>
  <si>
    <t>JPMC342021</t>
  </si>
  <si>
    <t>JPMC342022</t>
  </si>
  <si>
    <t>LREN31997</t>
  </si>
  <si>
    <t>LREN31999</t>
  </si>
  <si>
    <t>LREN32006</t>
  </si>
  <si>
    <t>LREN32007</t>
  </si>
  <si>
    <t>LREN32008</t>
  </si>
  <si>
    <t>LREN32009</t>
  </si>
  <si>
    <t>LREN32010</t>
  </si>
  <si>
    <t>LREN32011</t>
  </si>
  <si>
    <t>LREN32012</t>
  </si>
  <si>
    <t>LREN32013</t>
  </si>
  <si>
    <t>LREN32014</t>
  </si>
  <si>
    <t>LREN32015</t>
  </si>
  <si>
    <t>LREN32016</t>
  </si>
  <si>
    <t>LREN32017</t>
  </si>
  <si>
    <t>LREN32018</t>
  </si>
  <si>
    <t>LREN32019</t>
  </si>
  <si>
    <t>LREN32020</t>
  </si>
  <si>
    <t>LREN32021</t>
  </si>
  <si>
    <t>LREN32022</t>
  </si>
  <si>
    <t>MCDC342012</t>
  </si>
  <si>
    <t>MCDC342014</t>
  </si>
  <si>
    <t>MCDC342015</t>
  </si>
  <si>
    <t>MCDC342016</t>
  </si>
  <si>
    <t>MCDC342017</t>
  </si>
  <si>
    <t>MCDC342018</t>
  </si>
  <si>
    <t>MCDC342019</t>
  </si>
  <si>
    <t>MCDC342020</t>
  </si>
  <si>
    <t>MCDC342021</t>
  </si>
  <si>
    <t>MCDC342022</t>
  </si>
  <si>
    <t>MSFT342012</t>
  </si>
  <si>
    <t>MSFT342013</t>
  </si>
  <si>
    <t>MSFT342014</t>
  </si>
  <si>
    <t>MSFT342015</t>
  </si>
  <si>
    <t>MSFT342016</t>
  </si>
  <si>
    <t>MSFT342017</t>
  </si>
  <si>
    <t>MSFT342018</t>
  </si>
  <si>
    <t>MSFT342019</t>
  </si>
  <si>
    <t>MSFT342020</t>
  </si>
  <si>
    <t>MSFT342021</t>
  </si>
  <si>
    <t>MSFT342022</t>
  </si>
  <si>
    <t>NFLX342014</t>
  </si>
  <si>
    <t>NFLX342015</t>
  </si>
  <si>
    <t>NFLX342016</t>
  </si>
  <si>
    <t>NFLX342017</t>
  </si>
  <si>
    <t>NFLX342018</t>
  </si>
  <si>
    <t>NFLX342019</t>
  </si>
  <si>
    <t>NFLX342020</t>
  </si>
  <si>
    <t>NFLX342021</t>
  </si>
  <si>
    <t>NFLX342022</t>
  </si>
  <si>
    <t>NIKE342013</t>
  </si>
  <si>
    <t>NIKE342014</t>
  </si>
  <si>
    <t>NIKE342015</t>
  </si>
  <si>
    <t>NIKE342016</t>
  </si>
  <si>
    <t>NIKE342018</t>
  </si>
  <si>
    <t>NIKE342019</t>
  </si>
  <si>
    <t>NIKE342020</t>
  </si>
  <si>
    <t>NIKE342021</t>
  </si>
  <si>
    <t>NIKE342022</t>
  </si>
  <si>
    <t>NVDC342020</t>
  </si>
  <si>
    <t>NVDC342021</t>
  </si>
  <si>
    <t>NVDC342022</t>
  </si>
  <si>
    <t>ODPV32007</t>
  </si>
  <si>
    <t>ODPV32008</t>
  </si>
  <si>
    <t>ODPV32009</t>
  </si>
  <si>
    <t>ODPV32010</t>
  </si>
  <si>
    <t>ODPV32011</t>
  </si>
  <si>
    <t>ODPV32012</t>
  </si>
  <si>
    <t>ODPV32013</t>
  </si>
  <si>
    <t>ODPV32014</t>
  </si>
  <si>
    <t>ODPV32015</t>
  </si>
  <si>
    <t>ODPV32016</t>
  </si>
  <si>
    <t>ODPV32017</t>
  </si>
  <si>
    <t>ODPV32018</t>
  </si>
  <si>
    <t>ODPV32019</t>
  </si>
  <si>
    <t>ODPV32020</t>
  </si>
  <si>
    <t>ODPV32021</t>
  </si>
  <si>
    <t>ODPV32022</t>
  </si>
  <si>
    <t>PETR31997</t>
  </si>
  <si>
    <t>PETR31998</t>
  </si>
  <si>
    <t>PETR31999</t>
  </si>
  <si>
    <t>PETR32000</t>
  </si>
  <si>
    <t>PETR32001</t>
  </si>
  <si>
    <t>PETR32002</t>
  </si>
  <si>
    <t>PETR32003</t>
  </si>
  <si>
    <t>PETR32004</t>
  </si>
  <si>
    <t>PETR32005</t>
  </si>
  <si>
    <t>PETR32006</t>
  </si>
  <si>
    <t>PETR32007</t>
  </si>
  <si>
    <t>PETR32008</t>
  </si>
  <si>
    <t>PETR32009</t>
  </si>
  <si>
    <t>PETR32010</t>
  </si>
  <si>
    <t>PETR32011</t>
  </si>
  <si>
    <t>PETR32012</t>
  </si>
  <si>
    <t>PETR32013</t>
  </si>
  <si>
    <t>PETR32014</t>
  </si>
  <si>
    <t>PETR32015</t>
  </si>
  <si>
    <t>PETR32016</t>
  </si>
  <si>
    <t>PETR32017</t>
  </si>
  <si>
    <t>PETR32018</t>
  </si>
  <si>
    <t>PETR32019</t>
  </si>
  <si>
    <t>PETR32020</t>
  </si>
  <si>
    <t>PETR32021</t>
  </si>
  <si>
    <t>PETR32022</t>
  </si>
  <si>
    <t>PRIO32011</t>
  </si>
  <si>
    <t>PRIO32012</t>
  </si>
  <si>
    <t>PRIO32013</t>
  </si>
  <si>
    <t>PRIO32014</t>
  </si>
  <si>
    <t>PRIO32015</t>
  </si>
  <si>
    <t>PRIO32016</t>
  </si>
  <si>
    <t>PRIO32017</t>
  </si>
  <si>
    <t>PRIO32018</t>
  </si>
  <si>
    <t>PRIO32019</t>
  </si>
  <si>
    <t>PRIO32020</t>
  </si>
  <si>
    <t>PRIO32021</t>
  </si>
  <si>
    <t>PRIO32022</t>
  </si>
  <si>
    <t>PSSA32005</t>
  </si>
  <si>
    <t>PSSA32006</t>
  </si>
  <si>
    <t>PSSA32007</t>
  </si>
  <si>
    <t>PSSA32008</t>
  </si>
  <si>
    <t>PSSA32009</t>
  </si>
  <si>
    <t>PSSA32010</t>
  </si>
  <si>
    <t>PSSA32011</t>
  </si>
  <si>
    <t>PSSA32012</t>
  </si>
  <si>
    <t>PSSA32013</t>
  </si>
  <si>
    <t>PSSA32014</t>
  </si>
  <si>
    <t>PSSA32015</t>
  </si>
  <si>
    <t>PSSA32016</t>
  </si>
  <si>
    <t>PSSA32017</t>
  </si>
  <si>
    <t>PSSA32018</t>
  </si>
  <si>
    <t>PSSA32019</t>
  </si>
  <si>
    <t>PSSA32020</t>
  </si>
  <si>
    <t>PSSA32021</t>
  </si>
  <si>
    <t>PSSA32022</t>
  </si>
  <si>
    <t>SAPP342020</t>
  </si>
  <si>
    <t>SAPP342021</t>
  </si>
  <si>
    <t>SAPP342022</t>
  </si>
  <si>
    <t>SIMN342020</t>
  </si>
  <si>
    <t>SIMN342021</t>
  </si>
  <si>
    <t>SIMN342022</t>
  </si>
  <si>
    <t>TAEE32018</t>
  </si>
  <si>
    <t>TAEE32019</t>
  </si>
  <si>
    <t>TAEE32020</t>
  </si>
  <si>
    <t>TAEE32021</t>
  </si>
  <si>
    <t>TAEE32022</t>
  </si>
  <si>
    <t>TOTS32007</t>
  </si>
  <si>
    <t>TOTS32008</t>
  </si>
  <si>
    <t>TOTS32009</t>
  </si>
  <si>
    <t>TOTS32010</t>
  </si>
  <si>
    <t>TOTS32011</t>
  </si>
  <si>
    <t>TOTS32012</t>
  </si>
  <si>
    <t>TOTS32013</t>
  </si>
  <si>
    <t>TOTS32014</t>
  </si>
  <si>
    <t>TOTS32015</t>
  </si>
  <si>
    <t>TOTS32016</t>
  </si>
  <si>
    <t>TOTS32017</t>
  </si>
  <si>
    <t>TOTS32018</t>
  </si>
  <si>
    <t>TOTS32019</t>
  </si>
  <si>
    <t>TOTS32020</t>
  </si>
  <si>
    <t>TOTS32021</t>
  </si>
  <si>
    <t>TOTS32022</t>
  </si>
  <si>
    <t>TSLA342018</t>
  </si>
  <si>
    <t>TSLA342019</t>
  </si>
  <si>
    <t>TSLA342020</t>
  </si>
  <si>
    <t>TSLA342021</t>
  </si>
  <si>
    <t>TSLA342022</t>
  </si>
  <si>
    <t>TSMC342020</t>
  </si>
  <si>
    <t>TSMC342021</t>
  </si>
  <si>
    <t>TSMC342022</t>
  </si>
  <si>
    <t>VIVA32020</t>
  </si>
  <si>
    <t>VIVA32021</t>
  </si>
  <si>
    <t>VIVA32022</t>
  </si>
  <si>
    <t>WEGE32003</t>
  </si>
  <si>
    <t>WEGE32004</t>
  </si>
  <si>
    <t>WEGE32007</t>
  </si>
  <si>
    <t>WEGE32008</t>
  </si>
  <si>
    <t>WEGE32009</t>
  </si>
  <si>
    <t>WEGE32010</t>
  </si>
  <si>
    <t>WEGE32011</t>
  </si>
  <si>
    <t>WEGE32012</t>
  </si>
  <si>
    <t>WEGE32013</t>
  </si>
  <si>
    <t>WEGE32014</t>
  </si>
  <si>
    <t>WEGE32015</t>
  </si>
  <si>
    <t>WEGE32016</t>
  </si>
  <si>
    <t>WEGE32017</t>
  </si>
  <si>
    <t>WEGE32018</t>
  </si>
  <si>
    <t>WEGE32019</t>
  </si>
  <si>
    <t>WEGE32020</t>
  </si>
  <si>
    <t>WEGE32021</t>
  </si>
  <si>
    <t>WEGE32022</t>
  </si>
  <si>
    <t>Selic</t>
  </si>
  <si>
    <t>Ações</t>
  </si>
  <si>
    <t>BDRs</t>
  </si>
  <si>
    <t>Títulos Públicos</t>
  </si>
  <si>
    <t>Covariância</t>
  </si>
  <si>
    <t>Correlação</t>
  </si>
  <si>
    <t>Desvio Padrão</t>
  </si>
  <si>
    <t>Variação em 12 Meses</t>
  </si>
  <si>
    <t>Fonte: Investing.com</t>
  </si>
  <si>
    <t>Fonte: BCB</t>
  </si>
  <si>
    <t>Fonte: IBGE</t>
  </si>
  <si>
    <t>Índice de Sharpe</t>
  </si>
  <si>
    <t>Variável</t>
  </si>
  <si>
    <t>Utilidade</t>
  </si>
  <si>
    <t>Retorno</t>
  </si>
  <si>
    <t>re</t>
  </si>
  <si>
    <t>var</t>
  </si>
  <si>
    <t>Média Geométrica</t>
  </si>
  <si>
    <t>p_a1</t>
  </si>
  <si>
    <t>p_a2</t>
  </si>
  <si>
    <t>p_a3</t>
  </si>
  <si>
    <t>Taxa DI</t>
  </si>
  <si>
    <t>Risco A</t>
  </si>
  <si>
    <t>dp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</si>
  <si>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</si>
  <si>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</si>
  <si>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</si>
  <si>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</si>
  <si>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</si>
  <si>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</si>
  <si>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</si>
  <si>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</si>
  <si>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</si>
  <si>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</si>
  <si>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</si>
  <si>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</si>
  <si>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</si>
  <si>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</si>
  <si>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</si>
  <si>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</si>
  <si>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</si>
  <si>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</si>
  <si>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</si>
  <si>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</si>
  <si>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</si>
  <si>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</si>
  <si>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</si>
  <si>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</si>
  <si>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</si>
  <si>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</si>
  <si>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</si>
  <si>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</si>
  <si>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</si>
  <si>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</si>
  <si>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</si>
  <si>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</si>
  <si>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</si>
  <si>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</si>
  <si>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</si>
  <si>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</si>
  <si>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</si>
  <si>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</si>
  <si>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</si>
  <si>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</si>
  <si>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</si>
  <si>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</si>
  <si>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</si>
  <si>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</si>
  <si>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</si>
  <si>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</si>
  <si>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</si>
  <si>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</si>
  <si>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</si>
  <si>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</si>
  <si>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</si>
  <si>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</si>
  <si>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</si>
  <si>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</si>
  <si>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</si>
  <si>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</si>
  <si>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</si>
  <si>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</si>
  <si>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</si>
  <si>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</si>
  <si>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</si>
  <si>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</si>
  <si>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</si>
  <si>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</si>
  <si>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</si>
  <si>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</si>
  <si>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</si>
  <si>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</si>
  <si>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</si>
  <si>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</si>
  <si>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</si>
  <si>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</si>
  <si>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</si>
  <si>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</si>
  <si>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</si>
  <si>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</si>
  <si>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</si>
  <si>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</si>
  <si>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</si>
  <si>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</si>
  <si>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</si>
  <si>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</si>
  <si>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</si>
  <si>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</si>
  <si>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</si>
  <si>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</si>
  <si>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</si>
  <si>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</si>
  <si>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</si>
  <si>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Retorno Ações</t>
  </si>
  <si>
    <t>Alocação</t>
  </si>
  <si>
    <t>Variância</t>
  </si>
  <si>
    <t>Prêmio de Risco</t>
  </si>
  <si>
    <t>Alocação*</t>
  </si>
  <si>
    <t>Retorno *</t>
  </si>
  <si>
    <t>c</t>
  </si>
  <si>
    <t>risco</t>
  </si>
  <si>
    <t>Retorno*</t>
  </si>
  <si>
    <t>Variância*</t>
  </si>
  <si>
    <t>Desvio Padrão*</t>
  </si>
  <si>
    <t>Utilidade*</t>
  </si>
  <si>
    <t>Prêmio de Risco*</t>
  </si>
  <si>
    <t>Índice de Sharpe*</t>
  </si>
  <si>
    <t>Total</t>
  </si>
  <si>
    <t>Aversão a Risco</t>
  </si>
  <si>
    <t>var2</t>
  </si>
  <si>
    <t>dp2</t>
  </si>
  <si>
    <t>c*</t>
  </si>
  <si>
    <t>risco*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</si>
</sst>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"/>
    <numFmt numFmtId="165" formatCode="0.00000000"/>
    <numFmt numFmtId="166" formatCode="0.0000000"/>
    <numFmt numFmtId="167" formatCode="0.00%\ &quot;a.a&quot;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10" fontId="0" fillId="0" borderId="0" xfId="0" applyNumberFormat="1"/>
    <xf numFmtId="0" fontId="0" fillId="0" borderId="0" xfId="0" applyNumberFormat="1"/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14" fontId="0" fillId="0" borderId="0" xfId="0" applyNumberFormat="1"/>
    <xf numFmtId="9" fontId="0" fillId="0" borderId="0" xfId="1" applyFont="1"/>
    <xf numFmtId="0" fontId="2" fillId="0" borderId="0" xfId="0" applyFont="1"/>
    <xf numFmtId="0" fontId="3" fillId="0" borderId="0" xfId="0" applyFont="1"/>
    <xf numFmtId="0" fontId="4" fillId="0" borderId="0" xfId="0" applyNumberFormat="1" applyFont="1"/>
    <xf numFmtId="0" fontId="0" fillId="0" borderId="0" xfId="1" applyNumberFormat="1" applyFont="1"/>
    <xf numFmtId="166" fontId="0" fillId="0" borderId="0" xfId="0" applyNumberFormat="1"/>
    <xf numFmtId="9" fontId="0" fillId="0" borderId="0" xfId="0" applyNumberFormat="1"/>
    <xf numFmtId="10" fontId="0" fillId="0" borderId="0" xfId="1" applyNumberFormat="1" applyFont="1"/>
    <xf numFmtId="167" fontId="0" fillId="0" borderId="0" xfId="0" applyNumberFormat="1"/>
    <xf numFmtId="10" fontId="0" fillId="2" borderId="0" xfId="1" applyNumberFormat="1" applyFont="1" applyFill="1"/>
    <xf numFmtId="10" fontId="0" fillId="2" borderId="0" xfId="0" applyNumberFormat="1" applyFill="1"/>
    <xf numFmtId="0" fontId="0" fillId="2" borderId="0" xfId="0" applyFill="1"/>
    <xf numFmtId="0" fontId="0" fillId="3" borderId="0" xfId="0" applyFill="1"/>
    <xf numFmtId="10" fontId="0" fillId="3" borderId="0" xfId="1" applyNumberFormat="1" applyFont="1" applyFill="1"/>
    <xf numFmtId="10" fontId="0" fillId="4" borderId="0" xfId="1" applyNumberFormat="1" applyFont="1" applyFill="1"/>
    <xf numFmtId="10" fontId="0" fillId="0" borderId="0" xfId="1" applyNumberFormat="1" applyFont="1" applyFill="1"/>
    <xf numFmtId="0" fontId="0" fillId="0" borderId="0" xfId="0" applyFont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Fronteira 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carteira_3_ativos!$I$7:$I$95</c:f>
              <c:numCache>
                <c:formatCode>0.00%</c:formatCode>
                <c:ptCount val="89"/>
                <c:pt idx="0">
                  <c:v>0</c:v>
                </c:pt>
                <c:pt idx="1">
                  <c:v>3.621677247261635E-3</c:v>
                </c:pt>
                <c:pt idx="2">
                  <c:v>7.2433544945232206E-3</c:v>
                </c:pt>
                <c:pt idx="3">
                  <c:v>1.0865031741784855E-2</c:v>
                </c:pt>
                <c:pt idx="4">
                  <c:v>1.4486708989046441E-2</c:v>
                </c:pt>
                <c:pt idx="5">
                  <c:v>1.8108386236308074E-2</c:v>
                </c:pt>
                <c:pt idx="6">
                  <c:v>2.1730063483569661E-2</c:v>
                </c:pt>
                <c:pt idx="7">
                  <c:v>2.5351740730831296E-2</c:v>
                </c:pt>
                <c:pt idx="8">
                  <c:v>2.8973417978092882E-2</c:v>
                </c:pt>
                <c:pt idx="9">
                  <c:v>3.2595095225354517E-2</c:v>
                </c:pt>
                <c:pt idx="10">
                  <c:v>3.62167724726161E-2</c:v>
                </c:pt>
                <c:pt idx="11">
                  <c:v>3.9838449719877739E-2</c:v>
                </c:pt>
                <c:pt idx="12">
                  <c:v>4.3460126967139322E-2</c:v>
                </c:pt>
                <c:pt idx="13">
                  <c:v>4.708180421440096E-2</c:v>
                </c:pt>
                <c:pt idx="14">
                  <c:v>5.070348146166255E-2</c:v>
                </c:pt>
                <c:pt idx="15">
                  <c:v>5.4325158708924182E-2</c:v>
                </c:pt>
                <c:pt idx="16">
                  <c:v>5.7946835956185765E-2</c:v>
                </c:pt>
                <c:pt idx="17">
                  <c:v>6.1568513203447396E-2</c:v>
                </c:pt>
                <c:pt idx="18">
                  <c:v>6.5190190450709035E-2</c:v>
                </c:pt>
                <c:pt idx="19">
                  <c:v>6.8811867697970625E-2</c:v>
                </c:pt>
                <c:pt idx="20">
                  <c:v>7.2433544945232256E-2</c:v>
                </c:pt>
                <c:pt idx="21">
                  <c:v>7.6055222192493846E-2</c:v>
                </c:pt>
                <c:pt idx="22">
                  <c:v>7.9676899439755478E-2</c:v>
                </c:pt>
                <c:pt idx="23">
                  <c:v>8.3298576687017054E-2</c:v>
                </c:pt>
                <c:pt idx="24">
                  <c:v>8.6920253934278699E-2</c:v>
                </c:pt>
                <c:pt idx="25">
                  <c:v>9.0541931181540275E-2</c:v>
                </c:pt>
                <c:pt idx="26">
                  <c:v>9.416360842880192E-2</c:v>
                </c:pt>
                <c:pt idx="27">
                  <c:v>9.7785285676063496E-2</c:v>
                </c:pt>
                <c:pt idx="28">
                  <c:v>0.10140696292332513</c:v>
                </c:pt>
                <c:pt idx="29">
                  <c:v>0.10502864017058672</c:v>
                </c:pt>
                <c:pt idx="30">
                  <c:v>0.10865031741784836</c:v>
                </c:pt>
                <c:pt idx="31">
                  <c:v>0.11227199466510995</c:v>
                </c:pt>
                <c:pt idx="32">
                  <c:v>0.11589367191237158</c:v>
                </c:pt>
                <c:pt idx="33">
                  <c:v>0.11951534915963316</c:v>
                </c:pt>
                <c:pt idx="34">
                  <c:v>0.12313702640689479</c:v>
                </c:pt>
                <c:pt idx="35">
                  <c:v>0.12675870365415645</c:v>
                </c:pt>
                <c:pt idx="36">
                  <c:v>0.13038038090141801</c:v>
                </c:pt>
                <c:pt idx="37">
                  <c:v>0.1340020581486796</c:v>
                </c:pt>
                <c:pt idx="38">
                  <c:v>0.13762373539594125</c:v>
                </c:pt>
                <c:pt idx="39">
                  <c:v>0.14124541264320287</c:v>
                </c:pt>
                <c:pt idx="40">
                  <c:v>0.14486708989046446</c:v>
                </c:pt>
                <c:pt idx="41">
                  <c:v>0.14848876713772607</c:v>
                </c:pt>
                <c:pt idx="42">
                  <c:v>0.15211044438498769</c:v>
                </c:pt>
                <c:pt idx="43">
                  <c:v>0.15573212163224931</c:v>
                </c:pt>
                <c:pt idx="44">
                  <c:v>0.1593537988795109</c:v>
                </c:pt>
                <c:pt idx="45">
                  <c:v>0.16297547612677254</c:v>
                </c:pt>
                <c:pt idx="46">
                  <c:v>0.16659715337403411</c:v>
                </c:pt>
                <c:pt idx="47">
                  <c:v>0.17021883062129575</c:v>
                </c:pt>
                <c:pt idx="48">
                  <c:v>0.17384050786855731</c:v>
                </c:pt>
                <c:pt idx="49">
                  <c:v>0.17746218511581899</c:v>
                </c:pt>
                <c:pt idx="50">
                  <c:v>0.18108386236308055</c:v>
                </c:pt>
                <c:pt idx="51">
                  <c:v>0.1847055396103422</c:v>
                </c:pt>
                <c:pt idx="52">
                  <c:v>0.18832721685760384</c:v>
                </c:pt>
                <c:pt idx="53">
                  <c:v>0.1919488941048654</c:v>
                </c:pt>
                <c:pt idx="54">
                  <c:v>0.19557057135212699</c:v>
                </c:pt>
                <c:pt idx="55">
                  <c:v>0.19919224859938864</c:v>
                </c:pt>
                <c:pt idx="56">
                  <c:v>0.20281392584665026</c:v>
                </c:pt>
                <c:pt idx="57">
                  <c:v>0.20643560309391185</c:v>
                </c:pt>
                <c:pt idx="58">
                  <c:v>0.21005728034117349</c:v>
                </c:pt>
                <c:pt idx="59">
                  <c:v>0.21367895758843508</c:v>
                </c:pt>
                <c:pt idx="60">
                  <c:v>0.21730063483569673</c:v>
                </c:pt>
                <c:pt idx="61">
                  <c:v>0.22092231208295829</c:v>
                </c:pt>
                <c:pt idx="62">
                  <c:v>0.22454398933021993</c:v>
                </c:pt>
                <c:pt idx="63">
                  <c:v>0.22816566657748152</c:v>
                </c:pt>
                <c:pt idx="64">
                  <c:v>0.23178734382474317</c:v>
                </c:pt>
                <c:pt idx="65">
                  <c:v>0.23540902107200479</c:v>
                </c:pt>
                <c:pt idx="66">
                  <c:v>0.23903069831926635</c:v>
                </c:pt>
                <c:pt idx="67">
                  <c:v>0.24265237556652794</c:v>
                </c:pt>
                <c:pt idx="68">
                  <c:v>0.24627405281378958</c:v>
                </c:pt>
                <c:pt idx="69">
                  <c:v>0.24989573006105123</c:v>
                </c:pt>
                <c:pt idx="70">
                  <c:v>0.25351740730831285</c:v>
                </c:pt>
                <c:pt idx="71">
                  <c:v>0.25713908455557444</c:v>
                </c:pt>
                <c:pt idx="72">
                  <c:v>0.26076076180283603</c:v>
                </c:pt>
                <c:pt idx="73">
                  <c:v>0.26438243905009767</c:v>
                </c:pt>
                <c:pt idx="74">
                  <c:v>0.26800411629735926</c:v>
                </c:pt>
                <c:pt idx="75">
                  <c:v>0.27162579354462091</c:v>
                </c:pt>
                <c:pt idx="76">
                  <c:v>0.2752474707918825</c:v>
                </c:pt>
                <c:pt idx="77">
                  <c:v>0.27886914803914409</c:v>
                </c:pt>
                <c:pt idx="78">
                  <c:v>0.28249082528640568</c:v>
                </c:pt>
                <c:pt idx="79">
                  <c:v>0.28611250253366732</c:v>
                </c:pt>
                <c:pt idx="80">
                  <c:v>0.28973417978092891</c:v>
                </c:pt>
                <c:pt idx="81">
                  <c:v>0.29335585702819056</c:v>
                </c:pt>
                <c:pt idx="82">
                  <c:v>0.29697753427545215</c:v>
                </c:pt>
                <c:pt idx="83">
                  <c:v>0.30059921152271379</c:v>
                </c:pt>
                <c:pt idx="84">
                  <c:v>0.30422088876997538</c:v>
                </c:pt>
                <c:pt idx="85">
                  <c:v>0.30784256601723697</c:v>
                </c:pt>
                <c:pt idx="86">
                  <c:v>0.31146424326449862</c:v>
                </c:pt>
                <c:pt idx="87">
                  <c:v>0.31508592051176021</c:v>
                </c:pt>
                <c:pt idx="88">
                  <c:v>0.3187075977590218</c:v>
                </c:pt>
              </c:numCache>
            </c:numRef>
          </c:xVal>
          <c:yVal>
            <c:numRef>
              <c:f>carteira_3_ativos!$E$7:$E$95</c:f>
              <c:numCache>
                <c:formatCode>0.00%</c:formatCode>
                <c:ptCount val="89"/>
                <c:pt idx="0">
                  <c:v>0.13243044456743869</c:v>
                </c:pt>
                <c:pt idx="1">
                  <c:v>0.13325849400933357</c:v>
                </c:pt>
                <c:pt idx="2">
                  <c:v>0.13408654345122842</c:v>
                </c:pt>
                <c:pt idx="3">
                  <c:v>0.1349145928931233</c:v>
                </c:pt>
                <c:pt idx="4">
                  <c:v>0.13574264233501815</c:v>
                </c:pt>
                <c:pt idx="5">
                  <c:v>0.136570691776913</c:v>
                </c:pt>
                <c:pt idx="6">
                  <c:v>0.13739874121880785</c:v>
                </c:pt>
                <c:pt idx="7">
                  <c:v>0.13822679066070273</c:v>
                </c:pt>
                <c:pt idx="8">
                  <c:v>0.13905484010259758</c:v>
                </c:pt>
                <c:pt idx="9">
                  <c:v>0.13988288954449246</c:v>
                </c:pt>
                <c:pt idx="10">
                  <c:v>0.14071093898638731</c:v>
                </c:pt>
                <c:pt idx="11">
                  <c:v>0.14153898842828216</c:v>
                </c:pt>
                <c:pt idx="12">
                  <c:v>0.14236703787017702</c:v>
                </c:pt>
                <c:pt idx="13">
                  <c:v>0.14319508731207189</c:v>
                </c:pt>
                <c:pt idx="14">
                  <c:v>0.14402313675396675</c:v>
                </c:pt>
                <c:pt idx="15">
                  <c:v>0.14485118619586163</c:v>
                </c:pt>
                <c:pt idx="16">
                  <c:v>0.14567923563775648</c:v>
                </c:pt>
                <c:pt idx="17">
                  <c:v>0.14650728507965133</c:v>
                </c:pt>
                <c:pt idx="18">
                  <c:v>0.14733533452154624</c:v>
                </c:pt>
                <c:pt idx="19">
                  <c:v>0.14816338396344106</c:v>
                </c:pt>
                <c:pt idx="20">
                  <c:v>0.14899143340533594</c:v>
                </c:pt>
                <c:pt idx="21">
                  <c:v>0.14981948284723079</c:v>
                </c:pt>
                <c:pt idx="22">
                  <c:v>0.15064753228912567</c:v>
                </c:pt>
                <c:pt idx="23">
                  <c:v>0.15147558173102049</c:v>
                </c:pt>
                <c:pt idx="24">
                  <c:v>0.15230363117291537</c:v>
                </c:pt>
                <c:pt idx="25">
                  <c:v>0.15313168061481022</c:v>
                </c:pt>
                <c:pt idx="26">
                  <c:v>0.1539597300567051</c:v>
                </c:pt>
                <c:pt idx="27">
                  <c:v>0.15478777949859995</c:v>
                </c:pt>
                <c:pt idx="28">
                  <c:v>0.1556158289404948</c:v>
                </c:pt>
                <c:pt idx="29">
                  <c:v>0.15644387838238968</c:v>
                </c:pt>
                <c:pt idx="30">
                  <c:v>0.15727192782428456</c:v>
                </c:pt>
                <c:pt idx="31">
                  <c:v>0.15809997726617939</c:v>
                </c:pt>
                <c:pt idx="32">
                  <c:v>0.15892802670807427</c:v>
                </c:pt>
                <c:pt idx="33">
                  <c:v>0.15975607614996912</c:v>
                </c:pt>
                <c:pt idx="34">
                  <c:v>0.160584125591864</c:v>
                </c:pt>
                <c:pt idx="35">
                  <c:v>0.16141217503375885</c:v>
                </c:pt>
                <c:pt idx="36">
                  <c:v>0.16224022447565373</c:v>
                </c:pt>
                <c:pt idx="37">
                  <c:v>0.16306827391754858</c:v>
                </c:pt>
                <c:pt idx="38">
                  <c:v>0.16389632335944343</c:v>
                </c:pt>
                <c:pt idx="39">
                  <c:v>0.16472437280133828</c:v>
                </c:pt>
                <c:pt idx="40">
                  <c:v>0.16555242224323316</c:v>
                </c:pt>
                <c:pt idx="41">
                  <c:v>0.16638047168512804</c:v>
                </c:pt>
                <c:pt idx="42">
                  <c:v>0.16720852112702289</c:v>
                </c:pt>
                <c:pt idx="43">
                  <c:v>0.16803657056891774</c:v>
                </c:pt>
                <c:pt idx="44">
                  <c:v>0.16886462001081259</c:v>
                </c:pt>
                <c:pt idx="45">
                  <c:v>0.16969266945270747</c:v>
                </c:pt>
                <c:pt idx="46">
                  <c:v>0.17052071889460232</c:v>
                </c:pt>
                <c:pt idx="47">
                  <c:v>0.1713487683364972</c:v>
                </c:pt>
                <c:pt idx="48">
                  <c:v>0.17217681777839206</c:v>
                </c:pt>
                <c:pt idx="49">
                  <c:v>0.17300486722028691</c:v>
                </c:pt>
                <c:pt idx="50">
                  <c:v>0.17383291666218176</c:v>
                </c:pt>
                <c:pt idx="51">
                  <c:v>0.17466096610407664</c:v>
                </c:pt>
                <c:pt idx="52">
                  <c:v>0.17548901554597152</c:v>
                </c:pt>
                <c:pt idx="53">
                  <c:v>0.17631706498786637</c:v>
                </c:pt>
                <c:pt idx="54">
                  <c:v>0.17714511442976122</c:v>
                </c:pt>
                <c:pt idx="55">
                  <c:v>0.17797316387165607</c:v>
                </c:pt>
                <c:pt idx="56">
                  <c:v>0.17880121331355095</c:v>
                </c:pt>
                <c:pt idx="57">
                  <c:v>0.1796292627554458</c:v>
                </c:pt>
                <c:pt idx="58">
                  <c:v>0.18045731219734068</c:v>
                </c:pt>
                <c:pt idx="59">
                  <c:v>0.18128536163923553</c:v>
                </c:pt>
                <c:pt idx="60">
                  <c:v>0.18211341108113041</c:v>
                </c:pt>
                <c:pt idx="61">
                  <c:v>0.18294146052302523</c:v>
                </c:pt>
                <c:pt idx="62">
                  <c:v>0.18376950996492014</c:v>
                </c:pt>
                <c:pt idx="63">
                  <c:v>0.18459755940681496</c:v>
                </c:pt>
                <c:pt idx="64">
                  <c:v>0.18542560884870984</c:v>
                </c:pt>
                <c:pt idx="65">
                  <c:v>0.18625365829060472</c:v>
                </c:pt>
                <c:pt idx="66">
                  <c:v>0.18708170773249957</c:v>
                </c:pt>
                <c:pt idx="67">
                  <c:v>0.18790975717439443</c:v>
                </c:pt>
                <c:pt idx="68">
                  <c:v>0.18873780661628931</c:v>
                </c:pt>
                <c:pt idx="69">
                  <c:v>0.18956585605818416</c:v>
                </c:pt>
                <c:pt idx="70">
                  <c:v>0.19039390550007901</c:v>
                </c:pt>
                <c:pt idx="71">
                  <c:v>0.19122195494197383</c:v>
                </c:pt>
                <c:pt idx="72">
                  <c:v>0.19205000438386874</c:v>
                </c:pt>
                <c:pt idx="73">
                  <c:v>0.19287805382576362</c:v>
                </c:pt>
                <c:pt idx="74">
                  <c:v>0.19370610326765847</c:v>
                </c:pt>
                <c:pt idx="75">
                  <c:v>0.19453415270955332</c:v>
                </c:pt>
                <c:pt idx="76">
                  <c:v>0.1953622021514482</c:v>
                </c:pt>
                <c:pt idx="77">
                  <c:v>0.19619025159334308</c:v>
                </c:pt>
                <c:pt idx="78">
                  <c:v>0.19701830103523793</c:v>
                </c:pt>
                <c:pt idx="79">
                  <c:v>0.19784635047713275</c:v>
                </c:pt>
                <c:pt idx="80">
                  <c:v>0.19867439991902763</c:v>
                </c:pt>
                <c:pt idx="81">
                  <c:v>0.19950244936092251</c:v>
                </c:pt>
                <c:pt idx="82">
                  <c:v>0.20033049880281734</c:v>
                </c:pt>
                <c:pt idx="83">
                  <c:v>0.20115854824471222</c:v>
                </c:pt>
                <c:pt idx="84">
                  <c:v>0.20198659768660707</c:v>
                </c:pt>
                <c:pt idx="85">
                  <c:v>0.20281464712850197</c:v>
                </c:pt>
                <c:pt idx="86">
                  <c:v>0.2036426965703968</c:v>
                </c:pt>
                <c:pt idx="87">
                  <c:v>0.20447074601229165</c:v>
                </c:pt>
                <c:pt idx="88">
                  <c:v>0.2052987954541865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5A-409D-A5F6-8870D3056C8B}"/>
            </c:ext>
          </c:extLst>
        </c:ser>
        <c:ser>
          <c:idx val="1"/>
          <c:order val="1"/>
          <c:tx>
            <c:v>Fronteira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carteira_3_ativos!$H$7:$H$95</c:f>
              <c:numCache>
                <c:formatCode>0.00%</c:formatCode>
                <c:ptCount val="89"/>
                <c:pt idx="0">
                  <c:v>6.4251789804657261E-2</c:v>
                </c:pt>
                <c:pt idx="1">
                  <c:v>6.3134498550027313E-2</c:v>
                </c:pt>
                <c:pt idx="2">
                  <c:v>6.222681656973577E-2</c:v>
                </c:pt>
                <c:pt idx="3">
                  <c:v>6.1538019734325912E-2</c:v>
                </c:pt>
                <c:pt idx="4">
                  <c:v>6.1075514115066003E-2</c:v>
                </c:pt>
                <c:pt idx="5">
                  <c:v>6.0844460349283792E-2</c:v>
                </c:pt>
                <c:pt idx="6">
                  <c:v>6.0847495142775654E-2</c:v>
                </c:pt>
                <c:pt idx="7">
                  <c:v>6.1084583605712242E-2</c:v>
                </c:pt>
                <c:pt idx="8">
                  <c:v>6.1553021230439924E-2</c:v>
                </c:pt>
                <c:pt idx="9">
                  <c:v>6.2247585255054902E-2</c:v>
                </c:pt>
                <c:pt idx="10">
                  <c:v>6.3160816150159643E-2</c:v>
                </c:pt>
                <c:pt idx="11">
                  <c:v>6.428339523237557E-2</c:v>
                </c:pt>
                <c:pt idx="12">
                  <c:v>6.5604576727755382E-2</c:v>
                </c:pt>
                <c:pt idx="13">
                  <c:v>6.7112632580108814E-2</c:v>
                </c:pt>
                <c:pt idx="14">
                  <c:v>6.8795274512251342E-2</c:v>
                </c:pt>
                <c:pt idx="15">
                  <c:v>7.0640027730586016E-2</c:v>
                </c:pt>
                <c:pt idx="16">
                  <c:v>7.26345415041528E-2</c:v>
                </c:pt>
                <c:pt idx="17">
                  <c:v>7.476683155275228E-2</c:v>
                </c:pt>
                <c:pt idx="18">
                  <c:v>7.7025456574663503E-2</c:v>
                </c:pt>
                <c:pt idx="19">
                  <c:v>7.9399636018131131E-2</c:v>
                </c:pt>
                <c:pt idx="20">
                  <c:v>8.187931862360999E-2</c:v>
                </c:pt>
                <c:pt idx="21">
                  <c:v>8.4455211893051219E-2</c:v>
                </c:pt>
                <c:pt idx="22">
                  <c:v>8.7118782089239039E-2</c:v>
                </c:pt>
                <c:pt idx="23">
                  <c:v>8.9862233161117508E-2</c:v>
                </c:pt>
                <c:pt idx="24">
                  <c:v>9.2678471523177319E-2</c:v>
                </c:pt>
                <c:pt idx="25">
                  <c:v>9.5561062144684836E-2</c:v>
                </c:pt>
                <c:pt idx="26">
                  <c:v>9.850418007245608E-2</c:v>
                </c:pt>
                <c:pt idx="27">
                  <c:v>0.10150256038372621</c:v>
                </c:pt>
                <c:pt idx="28">
                  <c:v>0.10455144865727935</c:v>
                </c:pt>
                <c:pt idx="29">
                  <c:v>0.1076465533465798</c:v>
                </c:pt>
                <c:pt idx="30">
                  <c:v>0.11078400091005464</c:v>
                </c:pt>
                <c:pt idx="31">
                  <c:v>0.11396029416888373</c:v>
                </c:pt>
                <c:pt idx="32">
                  <c:v>0.11717227409100095</c:v>
                </c:pt>
                <c:pt idx="33">
                  <c:v>0.12041708501468293</c:v>
                </c:pt>
                <c:pt idx="34">
                  <c:v>0.12369214320395905</c:v>
                </c:pt>
                <c:pt idx="35">
                  <c:v>0.12699510855352913</c:v>
                </c:pt>
                <c:pt idx="36">
                  <c:v>0.13032385921938919</c:v>
                </c:pt>
                <c:pt idx="37">
                  <c:v>0.13367646893274185</c:v>
                </c:pt>
                <c:pt idx="38">
                  <c:v>0.13705118675150549</c:v>
                </c:pt>
                <c:pt idx="39">
                  <c:v>0.14044641901039831</c:v>
                </c:pt>
                <c:pt idx="40">
                  <c:v>0.14386071324330105</c:v>
                </c:pt>
                <c:pt idx="41">
                  <c:v>0.14729274386770322</c:v>
                </c:pt>
                <c:pt idx="42">
                  <c:v>0.15074129943867723</c:v>
                </c:pt>
                <c:pt idx="43">
                  <c:v>0.15420527129778569</c:v>
                </c:pt>
                <c:pt idx="44">
                  <c:v>0.15768364345982436</c:v>
                </c:pt>
                <c:pt idx="45">
                  <c:v>0.16117548359687009</c:v>
                </c:pt>
                <c:pt idx="46">
                  <c:v>0.16467993499447178</c:v>
                </c:pt>
                <c:pt idx="47">
                  <c:v>0.16819620936888144</c:v>
                </c:pt>
                <c:pt idx="48">
                  <c:v>0.17172358044693894</c:v>
                </c:pt>
                <c:pt idx="49">
                  <c:v>0.17526137822164542</c:v>
                </c:pt>
                <c:pt idx="50">
                  <c:v>0.1788089838066409</c:v>
                </c:pt>
                <c:pt idx="51">
                  <c:v>0.1823658248218539</c:v>
                </c:pt>
                <c:pt idx="52">
                  <c:v>0.18593137125059134</c:v>
                </c:pt>
                <c:pt idx="53">
                  <c:v>0.1895051317154075</c:v>
                </c:pt>
                <c:pt idx="54">
                  <c:v>0.19308665012631315</c:v>
                </c:pt>
                <c:pt idx="55">
                  <c:v>0.19667550266036488</c:v>
                </c:pt>
                <c:pt idx="56">
                  <c:v>0.20027129503648725</c:v>
                </c:pt>
                <c:pt idx="57">
                  <c:v>0.20387366005360977</c:v>
                </c:pt>
                <c:pt idx="58">
                  <c:v>0.20748225536391438</c:v>
                </c:pt>
                <c:pt idx="59">
                  <c:v>0.21109676145624995</c:v>
                </c:pt>
                <c:pt idx="60">
                  <c:v>0.21471687982763682</c:v>
                </c:pt>
                <c:pt idx="61">
                  <c:v>0.21834233132329911</c:v>
                </c:pt>
                <c:pt idx="62">
                  <c:v>0.22197285462787891</c:v>
                </c:pt>
                <c:pt idx="63">
                  <c:v>0.22560820489242889</c:v>
                </c:pt>
                <c:pt idx="64">
                  <c:v>0.22924815248349878</c:v>
                </c:pt>
                <c:pt idx="65">
                  <c:v>0.23289248184213554</c:v>
                </c:pt>
                <c:pt idx="66">
                  <c:v>0.23654099044195268</c:v>
                </c:pt>
                <c:pt idx="67">
                  <c:v>0.24019348783659614</c:v>
                </c:pt>
                <c:pt idx="68">
                  <c:v>0.2438497947879735</c:v>
                </c:pt>
                <c:pt idx="69">
                  <c:v>0.24750974246753021</c:v>
                </c:pt>
                <c:pt idx="70">
                  <c:v>0.2511731717236696</c:v>
                </c:pt>
                <c:pt idx="71">
                  <c:v>0.25483993240913311</c:v>
                </c:pt>
                <c:pt idx="72">
                  <c:v>0.2585098827627943</c:v>
                </c:pt>
                <c:pt idx="73">
                  <c:v>0.26218288884088986</c:v>
                </c:pt>
                <c:pt idx="74">
                  <c:v>0.26585882399321203</c:v>
                </c:pt>
                <c:pt idx="75">
                  <c:v>0.26953756838023829</c:v>
                </c:pt>
                <c:pt idx="76">
                  <c:v>0.27321900852756953</c:v>
                </c:pt>
                <c:pt idx="77">
                  <c:v>0.27690303691441026</c:v>
                </c:pt>
                <c:pt idx="78">
                  <c:v>0.2805895515931357</c:v>
                </c:pt>
                <c:pt idx="79">
                  <c:v>0.28427845583728162</c:v>
                </c:pt>
                <c:pt idx="80">
                  <c:v>0.28796965781554174</c:v>
                </c:pt>
                <c:pt idx="81">
                  <c:v>0.29166307028958899</c:v>
                </c:pt>
                <c:pt idx="82">
                  <c:v>0.29535861033373956</c:v>
                </c:pt>
                <c:pt idx="83">
                  <c:v>0.29905619907466313</c:v>
                </c:pt>
                <c:pt idx="84">
                  <c:v>0.3027557614495055</c:v>
                </c:pt>
                <c:pt idx="85">
                  <c:v>0.30645722598094138</c:v>
                </c:pt>
                <c:pt idx="86">
                  <c:v>0.31016052456780557</c:v>
                </c:pt>
                <c:pt idx="87">
                  <c:v>0.31386559229007149</c:v>
                </c:pt>
                <c:pt idx="88">
                  <c:v>0.31757236722705756</c:v>
                </c:pt>
              </c:numCache>
            </c:numRef>
          </c:xVal>
          <c:yVal>
            <c:numRef>
              <c:f>carteira_3_ativos!$E$7:$E$95</c:f>
              <c:numCache>
                <c:formatCode>0.00%</c:formatCode>
                <c:ptCount val="89"/>
                <c:pt idx="0">
                  <c:v>0.13243044456743869</c:v>
                </c:pt>
                <c:pt idx="1">
                  <c:v>0.13325849400933357</c:v>
                </c:pt>
                <c:pt idx="2">
                  <c:v>0.13408654345122842</c:v>
                </c:pt>
                <c:pt idx="3">
                  <c:v>0.1349145928931233</c:v>
                </c:pt>
                <c:pt idx="4">
                  <c:v>0.13574264233501815</c:v>
                </c:pt>
                <c:pt idx="5">
                  <c:v>0.136570691776913</c:v>
                </c:pt>
                <c:pt idx="6">
                  <c:v>0.13739874121880785</c:v>
                </c:pt>
                <c:pt idx="7">
                  <c:v>0.13822679066070273</c:v>
                </c:pt>
                <c:pt idx="8">
                  <c:v>0.13905484010259758</c:v>
                </c:pt>
                <c:pt idx="9">
                  <c:v>0.13988288954449246</c:v>
                </c:pt>
                <c:pt idx="10">
                  <c:v>0.14071093898638731</c:v>
                </c:pt>
                <c:pt idx="11">
                  <c:v>0.14153898842828216</c:v>
                </c:pt>
                <c:pt idx="12">
                  <c:v>0.14236703787017702</c:v>
                </c:pt>
                <c:pt idx="13">
                  <c:v>0.14319508731207189</c:v>
                </c:pt>
                <c:pt idx="14">
                  <c:v>0.14402313675396675</c:v>
                </c:pt>
                <c:pt idx="15">
                  <c:v>0.14485118619586163</c:v>
                </c:pt>
                <c:pt idx="16">
                  <c:v>0.14567923563775648</c:v>
                </c:pt>
                <c:pt idx="17">
                  <c:v>0.14650728507965133</c:v>
                </c:pt>
                <c:pt idx="18">
                  <c:v>0.14733533452154624</c:v>
                </c:pt>
                <c:pt idx="19">
                  <c:v>0.14816338396344106</c:v>
                </c:pt>
                <c:pt idx="20">
                  <c:v>0.14899143340533594</c:v>
                </c:pt>
                <c:pt idx="21">
                  <c:v>0.14981948284723079</c:v>
                </c:pt>
                <c:pt idx="22">
                  <c:v>0.15064753228912567</c:v>
                </c:pt>
                <c:pt idx="23">
                  <c:v>0.15147558173102049</c:v>
                </c:pt>
                <c:pt idx="24">
                  <c:v>0.15230363117291537</c:v>
                </c:pt>
                <c:pt idx="25">
                  <c:v>0.15313168061481022</c:v>
                </c:pt>
                <c:pt idx="26">
                  <c:v>0.1539597300567051</c:v>
                </c:pt>
                <c:pt idx="27">
                  <c:v>0.15478777949859995</c:v>
                </c:pt>
                <c:pt idx="28">
                  <c:v>0.1556158289404948</c:v>
                </c:pt>
                <c:pt idx="29">
                  <c:v>0.15644387838238968</c:v>
                </c:pt>
                <c:pt idx="30">
                  <c:v>0.15727192782428456</c:v>
                </c:pt>
                <c:pt idx="31">
                  <c:v>0.15809997726617939</c:v>
                </c:pt>
                <c:pt idx="32">
                  <c:v>0.15892802670807427</c:v>
                </c:pt>
                <c:pt idx="33">
                  <c:v>0.15975607614996912</c:v>
                </c:pt>
                <c:pt idx="34">
                  <c:v>0.160584125591864</c:v>
                </c:pt>
                <c:pt idx="35">
                  <c:v>0.16141217503375885</c:v>
                </c:pt>
                <c:pt idx="36">
                  <c:v>0.16224022447565373</c:v>
                </c:pt>
                <c:pt idx="37">
                  <c:v>0.16306827391754858</c:v>
                </c:pt>
                <c:pt idx="38">
                  <c:v>0.16389632335944343</c:v>
                </c:pt>
                <c:pt idx="39">
                  <c:v>0.16472437280133828</c:v>
                </c:pt>
                <c:pt idx="40">
                  <c:v>0.16555242224323316</c:v>
                </c:pt>
                <c:pt idx="41">
                  <c:v>0.16638047168512804</c:v>
                </c:pt>
                <c:pt idx="42">
                  <c:v>0.16720852112702289</c:v>
                </c:pt>
                <c:pt idx="43">
                  <c:v>0.16803657056891774</c:v>
                </c:pt>
                <c:pt idx="44">
                  <c:v>0.16886462001081259</c:v>
                </c:pt>
                <c:pt idx="45">
                  <c:v>0.16969266945270747</c:v>
                </c:pt>
                <c:pt idx="46">
                  <c:v>0.17052071889460232</c:v>
                </c:pt>
                <c:pt idx="47">
                  <c:v>0.1713487683364972</c:v>
                </c:pt>
                <c:pt idx="48">
                  <c:v>0.17217681777839206</c:v>
                </c:pt>
                <c:pt idx="49">
                  <c:v>0.17300486722028691</c:v>
                </c:pt>
                <c:pt idx="50">
                  <c:v>0.17383291666218176</c:v>
                </c:pt>
                <c:pt idx="51">
                  <c:v>0.17466096610407664</c:v>
                </c:pt>
                <c:pt idx="52">
                  <c:v>0.17548901554597152</c:v>
                </c:pt>
                <c:pt idx="53">
                  <c:v>0.17631706498786637</c:v>
                </c:pt>
                <c:pt idx="54">
                  <c:v>0.17714511442976122</c:v>
                </c:pt>
                <c:pt idx="55">
                  <c:v>0.17797316387165607</c:v>
                </c:pt>
                <c:pt idx="56">
                  <c:v>0.17880121331355095</c:v>
                </c:pt>
                <c:pt idx="57">
                  <c:v>0.1796292627554458</c:v>
                </c:pt>
                <c:pt idx="58">
                  <c:v>0.18045731219734068</c:v>
                </c:pt>
                <c:pt idx="59">
                  <c:v>0.18128536163923553</c:v>
                </c:pt>
                <c:pt idx="60">
                  <c:v>0.18211341108113041</c:v>
                </c:pt>
                <c:pt idx="61">
                  <c:v>0.18294146052302523</c:v>
                </c:pt>
                <c:pt idx="62">
                  <c:v>0.18376950996492014</c:v>
                </c:pt>
                <c:pt idx="63">
                  <c:v>0.18459755940681496</c:v>
                </c:pt>
                <c:pt idx="64">
                  <c:v>0.18542560884870984</c:v>
                </c:pt>
                <c:pt idx="65">
                  <c:v>0.18625365829060472</c:v>
                </c:pt>
                <c:pt idx="66">
                  <c:v>0.18708170773249957</c:v>
                </c:pt>
                <c:pt idx="67">
                  <c:v>0.18790975717439443</c:v>
                </c:pt>
                <c:pt idx="68">
                  <c:v>0.18873780661628931</c:v>
                </c:pt>
                <c:pt idx="69">
                  <c:v>0.18956585605818416</c:v>
                </c:pt>
                <c:pt idx="70">
                  <c:v>0.19039390550007901</c:v>
                </c:pt>
                <c:pt idx="71">
                  <c:v>0.19122195494197383</c:v>
                </c:pt>
                <c:pt idx="72">
                  <c:v>0.19205000438386874</c:v>
                </c:pt>
                <c:pt idx="73">
                  <c:v>0.19287805382576362</c:v>
                </c:pt>
                <c:pt idx="74">
                  <c:v>0.19370610326765847</c:v>
                </c:pt>
                <c:pt idx="75">
                  <c:v>0.19453415270955332</c:v>
                </c:pt>
                <c:pt idx="76">
                  <c:v>0.1953622021514482</c:v>
                </c:pt>
                <c:pt idx="77">
                  <c:v>0.19619025159334308</c:v>
                </c:pt>
                <c:pt idx="78">
                  <c:v>0.19701830103523793</c:v>
                </c:pt>
                <c:pt idx="79">
                  <c:v>0.19784635047713275</c:v>
                </c:pt>
                <c:pt idx="80">
                  <c:v>0.19867439991902763</c:v>
                </c:pt>
                <c:pt idx="81">
                  <c:v>0.19950244936092251</c:v>
                </c:pt>
                <c:pt idx="82">
                  <c:v>0.20033049880281734</c:v>
                </c:pt>
                <c:pt idx="83">
                  <c:v>0.20115854824471222</c:v>
                </c:pt>
                <c:pt idx="84">
                  <c:v>0.20198659768660707</c:v>
                </c:pt>
                <c:pt idx="85">
                  <c:v>0.20281464712850197</c:v>
                </c:pt>
                <c:pt idx="86">
                  <c:v>0.2036426965703968</c:v>
                </c:pt>
                <c:pt idx="87">
                  <c:v>0.20447074601229165</c:v>
                </c:pt>
                <c:pt idx="88">
                  <c:v>0.2052987954541865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5A-409D-A5F6-8870D3056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4429039"/>
        <c:axId val="714433199"/>
      </c:scatterChart>
      <c:valAx>
        <c:axId val="71442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4433199"/>
        <c:crosses val="autoZero"/>
        <c:crossBetween val="midCat"/>
      </c:valAx>
      <c:valAx>
        <c:axId val="714433199"/>
        <c:scaling>
          <c:orientation val="minMax"/>
          <c:min val="0.1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442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Utilidade x Alocação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utilidade!$A$2:$A$22</c:f>
              <c:numCache>
                <c:formatCode>0.00%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utilidade!$E$2:$E$22</c:f>
              <c:numCache>
                <c:formatCode>0.00%</c:formatCode>
                <c:ptCount val="21"/>
                <c:pt idx="0">
                  <c:v>0.1065</c:v>
                </c:pt>
                <c:pt idx="1">
                  <c:v>0.11192606264793513</c:v>
                </c:pt>
                <c:pt idx="2">
                  <c:v>0.11633801101795126</c:v>
                </c:pt>
                <c:pt idx="3">
                  <c:v>0.11973584511004839</c:v>
                </c:pt>
                <c:pt idx="4">
                  <c:v>0.12211956492422656</c:v>
                </c:pt>
                <c:pt idx="5">
                  <c:v>0.1234891704604857</c:v>
                </c:pt>
                <c:pt idx="6">
                  <c:v>0.12384466171882585</c:v>
                </c:pt>
                <c:pt idx="7">
                  <c:v>0.12318603869924701</c:v>
                </c:pt>
                <c:pt idx="8">
                  <c:v>0.12151330140174918</c:v>
                </c:pt>
                <c:pt idx="9">
                  <c:v>0.11882644982633234</c:v>
                </c:pt>
                <c:pt idx="10">
                  <c:v>0.11512548397299652</c:v>
                </c:pt>
                <c:pt idx="11">
                  <c:v>0.11041040384174168</c:v>
                </c:pt>
                <c:pt idx="12">
                  <c:v>0.1046812094325679</c:v>
                </c:pt>
                <c:pt idx="13">
                  <c:v>9.7937900745475065E-2</c:v>
                </c:pt>
                <c:pt idx="14">
                  <c:v>9.0180477780463286E-2</c:v>
                </c:pt>
                <c:pt idx="15">
                  <c:v>8.140894053753249E-2</c:v>
                </c:pt>
                <c:pt idx="16">
                  <c:v>7.1623289016682662E-2</c:v>
                </c:pt>
                <c:pt idx="17">
                  <c:v>6.08235232179139E-2</c:v>
                </c:pt>
                <c:pt idx="18">
                  <c:v>4.9009643141226106E-2</c:v>
                </c:pt>
                <c:pt idx="19">
                  <c:v>3.6181648786619308E-2</c:v>
                </c:pt>
                <c:pt idx="20">
                  <c:v>2.2339540154093562E-2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7F-4DD2-9B8E-16974DCD8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9655728"/>
        <c:axId val="1299763760"/>
      </c:scatterChart>
      <c:valAx>
        <c:axId val="1279655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9763760"/>
        <c:crosses val="autoZero"/>
        <c:crossBetween val="midCat"/>
      </c:valAx>
      <c:valAx>
        <c:axId val="129976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9655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utilidade!$D$2:$D$22</c:f>
              <c:numCache>
                <c:formatCode>0.00%</c:formatCode>
                <c:ptCount val="21"/>
                <c:pt idx="0">
                  <c:v>0</c:v>
                </c:pt>
                <c:pt idx="1">
                  <c:v>2.2517929277788791E-2</c:v>
                </c:pt>
                <c:pt idx="2">
                  <c:v>4.5035858555577582E-2</c:v>
                </c:pt>
                <c:pt idx="3">
                  <c:v>6.7553787833366366E-2</c:v>
                </c:pt>
                <c:pt idx="4">
                  <c:v>9.0071717111155164E-2</c:v>
                </c:pt>
                <c:pt idx="5">
                  <c:v>0.11258964638894393</c:v>
                </c:pt>
                <c:pt idx="6">
                  <c:v>0.13510757566673273</c:v>
                </c:pt>
                <c:pt idx="7">
                  <c:v>0.15762550494452149</c:v>
                </c:pt>
                <c:pt idx="8">
                  <c:v>0.18014343422231033</c:v>
                </c:pt>
                <c:pt idx="9">
                  <c:v>0.20266136350009908</c:v>
                </c:pt>
                <c:pt idx="10">
                  <c:v>0.22517929277788787</c:v>
                </c:pt>
                <c:pt idx="11">
                  <c:v>0.24769722205567668</c:v>
                </c:pt>
                <c:pt idx="12">
                  <c:v>0.27021515133346546</c:v>
                </c:pt>
                <c:pt idx="13">
                  <c:v>0.29273308061125425</c:v>
                </c:pt>
                <c:pt idx="14">
                  <c:v>0.31525100988904298</c:v>
                </c:pt>
                <c:pt idx="15">
                  <c:v>0.33776893916683182</c:v>
                </c:pt>
                <c:pt idx="16">
                  <c:v>0.36028686844462066</c:v>
                </c:pt>
                <c:pt idx="17">
                  <c:v>0.38280479772240938</c:v>
                </c:pt>
                <c:pt idx="18">
                  <c:v>0.40532272700019817</c:v>
                </c:pt>
                <c:pt idx="19">
                  <c:v>0.42784065627798695</c:v>
                </c:pt>
                <c:pt idx="20">
                  <c:v>0.45035858555577574</c:v>
                </c:pt>
              </c:numCache>
            </c:numRef>
          </c:xVal>
          <c:yVal>
            <c:numRef>
              <c:f>utilidade!$B$2:$B$22</c:f>
              <c:numCache>
                <c:formatCode>0.00%</c:formatCode>
                <c:ptCount val="21"/>
                <c:pt idx="0">
                  <c:v>0.1065</c:v>
                </c:pt>
                <c:pt idx="1">
                  <c:v>0.11243311978689463</c:v>
                </c:pt>
                <c:pt idx="2">
                  <c:v>0.11836623957378925</c:v>
                </c:pt>
                <c:pt idx="3">
                  <c:v>0.12429935936068387</c:v>
                </c:pt>
                <c:pt idx="4">
                  <c:v>0.13023247914757852</c:v>
                </c:pt>
                <c:pt idx="5">
                  <c:v>0.13616559893447314</c:v>
                </c:pt>
                <c:pt idx="6">
                  <c:v>0.14209871872136776</c:v>
                </c:pt>
                <c:pt idx="7">
                  <c:v>0.14803183850826238</c:v>
                </c:pt>
                <c:pt idx="8">
                  <c:v>0.15396495829515702</c:v>
                </c:pt>
                <c:pt idx="9">
                  <c:v>0.15989807808205164</c:v>
                </c:pt>
                <c:pt idx="10">
                  <c:v>0.16583119786894626</c:v>
                </c:pt>
                <c:pt idx="11">
                  <c:v>0.17176431765584088</c:v>
                </c:pt>
                <c:pt idx="12">
                  <c:v>0.17769743744273553</c:v>
                </c:pt>
                <c:pt idx="13">
                  <c:v>0.18363055722963015</c:v>
                </c:pt>
                <c:pt idx="14">
                  <c:v>0.18956367701652477</c:v>
                </c:pt>
                <c:pt idx="15">
                  <c:v>0.19549679680341941</c:v>
                </c:pt>
                <c:pt idx="16">
                  <c:v>0.20142991659031403</c:v>
                </c:pt>
                <c:pt idx="17">
                  <c:v>0.20736303637720865</c:v>
                </c:pt>
                <c:pt idx="18">
                  <c:v>0.2132961561641033</c:v>
                </c:pt>
                <c:pt idx="19">
                  <c:v>0.21922927595099789</c:v>
                </c:pt>
                <c:pt idx="20">
                  <c:v>0.22516239573789254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A7-4F09-9421-B4B5C474866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utilidade!$D$2:$D$22</c:f>
              <c:numCache>
                <c:formatCode>0.00%</c:formatCode>
                <c:ptCount val="21"/>
                <c:pt idx="0">
                  <c:v>0</c:v>
                </c:pt>
                <c:pt idx="1">
                  <c:v>2.2517929277788791E-2</c:v>
                </c:pt>
                <c:pt idx="2">
                  <c:v>4.5035858555577582E-2</c:v>
                </c:pt>
                <c:pt idx="3">
                  <c:v>6.7553787833366366E-2</c:v>
                </c:pt>
                <c:pt idx="4">
                  <c:v>9.0071717111155164E-2</c:v>
                </c:pt>
                <c:pt idx="5">
                  <c:v>0.11258964638894393</c:v>
                </c:pt>
                <c:pt idx="6">
                  <c:v>0.13510757566673273</c:v>
                </c:pt>
                <c:pt idx="7">
                  <c:v>0.15762550494452149</c:v>
                </c:pt>
                <c:pt idx="8">
                  <c:v>0.18014343422231033</c:v>
                </c:pt>
                <c:pt idx="9">
                  <c:v>0.20266136350009908</c:v>
                </c:pt>
                <c:pt idx="10">
                  <c:v>0.22517929277788787</c:v>
                </c:pt>
                <c:pt idx="11">
                  <c:v>0.24769722205567668</c:v>
                </c:pt>
                <c:pt idx="12">
                  <c:v>0.27021515133346546</c:v>
                </c:pt>
                <c:pt idx="13">
                  <c:v>0.29273308061125425</c:v>
                </c:pt>
                <c:pt idx="14">
                  <c:v>0.31525100988904298</c:v>
                </c:pt>
                <c:pt idx="15">
                  <c:v>0.33776893916683182</c:v>
                </c:pt>
                <c:pt idx="16">
                  <c:v>0.36028686844462066</c:v>
                </c:pt>
                <c:pt idx="17">
                  <c:v>0.38280479772240938</c:v>
                </c:pt>
                <c:pt idx="18">
                  <c:v>0.40532272700019817</c:v>
                </c:pt>
                <c:pt idx="19">
                  <c:v>0.42784065627798695</c:v>
                </c:pt>
                <c:pt idx="20">
                  <c:v>0.45035858555577574</c:v>
                </c:pt>
              </c:numCache>
            </c:numRef>
          </c:xVal>
          <c:yVal>
            <c:numRef>
              <c:f>utilidade!$F$2:$F$22</c:f>
              <c:numCache>
                <c:formatCode>0.00%</c:formatCode>
                <c:ptCount val="21"/>
                <c:pt idx="0">
                  <c:v>0.12385598796512182</c:v>
                </c:pt>
                <c:pt idx="1">
                  <c:v>0.12436304510408132</c:v>
                </c:pt>
                <c:pt idx="2">
                  <c:v>0.1258842165209598</c:v>
                </c:pt>
                <c:pt idx="3">
                  <c:v>0.12841950221575729</c:v>
                </c:pt>
                <c:pt idx="4">
                  <c:v>0.13196890218847379</c:v>
                </c:pt>
                <c:pt idx="5">
                  <c:v>0.13653241643910924</c:v>
                </c:pt>
                <c:pt idx="6">
                  <c:v>0.14211004496766372</c:v>
                </c:pt>
                <c:pt idx="7">
                  <c:v>0.14870178777413717</c:v>
                </c:pt>
                <c:pt idx="8">
                  <c:v>0.15630764485852966</c:v>
                </c:pt>
                <c:pt idx="9">
                  <c:v>0.16492761622084112</c:v>
                </c:pt>
                <c:pt idx="10">
                  <c:v>0.17456170186107156</c:v>
                </c:pt>
                <c:pt idx="11">
                  <c:v>0.18520990177922103</c:v>
                </c:pt>
                <c:pt idx="12">
                  <c:v>0.19687221597528945</c:v>
                </c:pt>
                <c:pt idx="13">
                  <c:v>0.2095486444492769</c:v>
                </c:pt>
                <c:pt idx="14">
                  <c:v>0.2232391872011833</c:v>
                </c:pt>
                <c:pt idx="15">
                  <c:v>0.23794384423100873</c:v>
                </c:pt>
                <c:pt idx="16">
                  <c:v>0.25366261553875319</c:v>
                </c:pt>
                <c:pt idx="17">
                  <c:v>0.27039550112441657</c:v>
                </c:pt>
                <c:pt idx="18">
                  <c:v>0.28814250098799898</c:v>
                </c:pt>
                <c:pt idx="19">
                  <c:v>0.30690361512950037</c:v>
                </c:pt>
                <c:pt idx="20">
                  <c:v>0.32667884354892079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A7-4F09-9421-B4B5C4748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905200"/>
        <c:axId val="357911440"/>
      </c:scatterChart>
      <c:valAx>
        <c:axId val="35790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7911440"/>
        <c:crosses val="autoZero"/>
        <c:crossBetween val="midCat"/>
      </c:valAx>
      <c:valAx>
        <c:axId val="35791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7905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142876</xdr:colOff>
      <xdr:row>1</xdr:row>
      <xdr:rowOff>109537</xdr:rowOff>
    </xdr:from>
    <xdr:ext cx="10096500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232274CD-2F03-4695-949D-6D3BFFB7C2B2}"/>
                </a:ext>
              </a:extLst>
            </xdr:cNvPr>
            <xdr:cNvSpPr txBox="1"/>
          </xdr:nvSpPr>
          <xdr:spPr>
            <a:xfrm>
              <a:off x="142876" y="300037"/>
              <a:ext cx="10096500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pt-BR" sz="20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pt-BR" sz="20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pt-BR" sz="20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+2</m:t>
                    </m:r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sub>
                    </m:sSub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𝐶𝑜𝑣</m:t>
                    </m:r>
                    <m:d>
                      <m:d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e>
                    </m:d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+2</m:t>
                    </m:r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sub>
                    </m:sSub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𝐶𝑜𝑣</m:t>
                    </m:r>
                    <m:d>
                      <m:d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e>
                    </m:d>
                    <m:r>
                      <a:rPr lang="pt-BR" sz="20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+2</m:t>
                    </m:r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sub>
                    </m:sSub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𝐶𝑜𝑣</m:t>
                    </m:r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232274CD-2F03-4695-949D-6D3BFFB7C2B2}"/>
                </a:ext>
              </a:extLst>
            </xdr:cNvPr>
            <xdr:cNvSpPr txBox="1"/>
          </xdr:nvSpPr>
          <xdr:spPr>
            <a:xfrm>
              <a:off x="142876" y="300037"/>
              <a:ext cx="10096500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pt-BR" sz="2000" b="0" i="0">
                  <a:latin typeface="Cambria Math" panose="02040503050406030204" pitchFamily="18" charset="0"/>
                </a:rPr>
                <a:t>𝑝^2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𝑤_𝑏^2 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𝑏^2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𝑤_𝑐^2 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𝑐^2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𝑤_𝑑^2 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𝑑^2+2𝑤_𝑏 𝑤_𝑐 𝐶𝑜𝑣(𝑟_𝑏 〖,𝑟〗_𝑐 )+2𝑤_𝑏 𝑤_𝑑 𝐶𝑜𝑣(𝑟_𝑏,𝑟_𝑐 )+2𝑤_𝑐 𝑤_𝑑 𝐶𝑜𝑣(𝑟_𝑐,𝑟_𝑑)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11</xdr:col>
      <xdr:colOff>19050</xdr:colOff>
      <xdr:row>4</xdr:row>
      <xdr:rowOff>38100</xdr:rowOff>
    </xdr:from>
    <xdr:to>
      <xdr:col>19</xdr:col>
      <xdr:colOff>323850</xdr:colOff>
      <xdr:row>20</xdr:row>
      <xdr:rowOff>57150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26DC3D1-1AEE-4D88-8879-342722D036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180975</xdr:colOff>
      <xdr:row>23</xdr:row>
      <xdr:rowOff>76200</xdr:rowOff>
    </xdr:from>
    <xdr:ext cx="2023823" cy="5761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4A169EF6-8A29-47A3-8487-8F5877D461CE}"/>
                </a:ext>
              </a:extLst>
            </xdr:cNvPr>
            <xdr:cNvSpPr txBox="1"/>
          </xdr:nvSpPr>
          <xdr:spPr>
            <a:xfrm>
              <a:off x="180975" y="4457700"/>
              <a:ext cx="2023823" cy="5761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pt-BR" sz="2000" i="0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i="1">
                        <a:latin typeface="Cambria Math" panose="02040503050406030204" pitchFamily="18" charset="0"/>
                      </a:rPr>
                      <m:t>𝐸</m:t>
                    </m:r>
                    <m:d>
                      <m:dPr>
                        <m:ctrlPr>
                          <a:rPr lang="pt-BR" sz="20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20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</m:d>
                    <m:r>
                      <a:rPr lang="pt-BR" sz="2000" i="0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pt-BR" sz="20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i="0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pt-BR" sz="2000" i="0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pt-BR" sz="2000" i="1">
                        <a:latin typeface="Cambria Math" panose="02040503050406030204" pitchFamily="18" charset="0"/>
                      </a:rPr>
                      <m:t>𝐴</m:t>
                    </m:r>
                    <m:sSup>
                      <m:sSupPr>
                        <m:ctrlPr>
                          <a:rPr lang="pt-BR" sz="20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pt-BR" sz="2000" i="1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r>
                          <a:rPr lang="pt-BR" sz="20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4A169EF6-8A29-47A3-8487-8F5877D461CE}"/>
                </a:ext>
              </a:extLst>
            </xdr:cNvPr>
            <xdr:cNvSpPr txBox="1"/>
          </xdr:nvSpPr>
          <xdr:spPr>
            <a:xfrm>
              <a:off x="180975" y="4457700"/>
              <a:ext cx="2023823" cy="5761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2000" i="0">
                  <a:latin typeface="Cambria Math" panose="02040503050406030204" pitchFamily="18" charset="0"/>
                </a:rPr>
                <a:t>𝑈=𝐸</a:t>
              </a:r>
              <a:r>
                <a:rPr lang="pt-BR" sz="20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pt-BR" sz="2000" i="0">
                  <a:latin typeface="Cambria Math" panose="02040503050406030204" pitchFamily="18" charset="0"/>
                </a:rPr>
                <a:t>𝑟)−1</a:t>
              </a:r>
              <a:r>
                <a:rPr lang="pt-BR" sz="20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pt-BR" sz="2000" i="0">
                  <a:latin typeface="Cambria Math" panose="02040503050406030204" pitchFamily="18" charset="0"/>
                </a:rPr>
                <a:t>2 𝐴𝜎</a:t>
              </a:r>
              <a:r>
                <a:rPr lang="pt-BR" sz="20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pt-BR" sz="2000" i="0">
                  <a:latin typeface="Cambria Math" panose="02040503050406030204" pitchFamily="18" charset="0"/>
                </a:rPr>
                <a:t>2</a:t>
              </a:r>
              <a:endParaRPr lang="pt-BR" sz="1100"/>
            </a:p>
          </xdr:txBody>
        </xdr:sp>
      </mc:Fallback>
    </mc:AlternateContent>
    <xdr:clientData/>
  </xdr:oneCellAnchor>
  <xdr:twoCellAnchor>
    <xdr:from>
      <xdr:col>6</xdr:col>
      <xdr:colOff>266701</xdr:colOff>
      <xdr:row>0</xdr:row>
      <xdr:rowOff>114300</xdr:rowOff>
    </xdr:from>
    <xdr:to>
      <xdr:col>14</xdr:col>
      <xdr:colOff>600075</xdr:colOff>
      <xdr:row>16</xdr:row>
      <xdr:rowOff>85725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98D9F4B-17DF-4A2B-B4F1-D5251F71E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257175</xdr:colOff>
      <xdr:row>17</xdr:row>
      <xdr:rowOff>76200</xdr:rowOff>
    </xdr:from>
    <xdr:to>
      <xdr:col>14</xdr:col>
      <xdr:colOff>590550</xdr:colOff>
      <xdr:row>34</xdr:row>
      <xdr:rowOff>52387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5CDD7420-A8B1-4BF3-A462-0CD56BB988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47559-4E74-4390-A065-08962BDD665B}">
  <sheetPr codeName="Planilha6"/>
  <dimension ref="A1:I444"/>
  <sheetViews>
    <sheetView workbookViewId="0"/>
  </sheetViews>
  <sheetFormatPr defaultRowHeight="15" x14ac:dyDescent="0.25"/>
  <cols>
    <col min="1" max="1" width="12.42578125" bestFit="1" customWidth="1"/>
    <col min="2" max="2" width="9.42578125" bestFit="1" customWidth="1"/>
    <col min="3" max="3" width="7" bestFit="1" customWidth="1"/>
    <col min="4" max="4" width="6.85546875" bestFit="1" customWidth="1"/>
    <col min="5" max="5" width="9.28515625" bestFit="1" customWidth="1"/>
    <col min="6" max="6" width="11.140625" bestFit="1" customWidth="1"/>
    <col min="7" max="7" width="10.28515625" bestFit="1" customWidth="1"/>
    <col min="8" max="8" width="9.85546875" bestFit="1" customWidth="1"/>
    <col min="9" max="9" width="8.28515625" bestFit="1" customWidth="1"/>
  </cols>
  <sheetData>
    <row r="1" spans="1:9" x14ac:dyDescent="0.25">
      <c r="A1" t="s">
        <v>474</v>
      </c>
      <c r="B1" t="s">
        <v>0</v>
      </c>
      <c r="C1" t="s">
        <v>472</v>
      </c>
      <c r="D1" t="s">
        <v>473</v>
      </c>
      <c r="E1" t="s">
        <v>2</v>
      </c>
      <c r="F1" t="s">
        <v>3</v>
      </c>
      <c r="G1" t="s">
        <v>4</v>
      </c>
      <c r="H1" t="s">
        <v>5</v>
      </c>
      <c r="I1" t="s">
        <v>6</v>
      </c>
    </row>
    <row r="2" spans="1:9" x14ac:dyDescent="0.25">
      <c r="A2" t="s">
        <v>475</v>
      </c>
      <c r="B2" t="s">
        <v>9</v>
      </c>
      <c r="C2">
        <v>1</v>
      </c>
      <c r="D2">
        <v>2011</v>
      </c>
      <c r="E2">
        <v>1.82</v>
      </c>
      <c r="F2">
        <v>1.82</v>
      </c>
      <c r="G2">
        <v>1.82</v>
      </c>
      <c r="H2">
        <v>1.82</v>
      </c>
      <c r="I2" t="s">
        <v>34</v>
      </c>
    </row>
    <row r="3" spans="1:9" x14ac:dyDescent="0.25">
      <c r="A3" t="s">
        <v>476</v>
      </c>
      <c r="B3" t="s">
        <v>9</v>
      </c>
      <c r="C3">
        <v>1</v>
      </c>
      <c r="D3">
        <v>2012</v>
      </c>
      <c r="E3">
        <v>2.41</v>
      </c>
      <c r="F3">
        <v>2.34</v>
      </c>
      <c r="G3">
        <v>2.44</v>
      </c>
      <c r="H3">
        <v>2.33</v>
      </c>
      <c r="I3" t="s">
        <v>33</v>
      </c>
    </row>
    <row r="4" spans="1:9" x14ac:dyDescent="0.25">
      <c r="A4" t="s">
        <v>477</v>
      </c>
      <c r="B4" t="s">
        <v>9</v>
      </c>
      <c r="C4">
        <v>1</v>
      </c>
      <c r="D4">
        <v>2013</v>
      </c>
      <c r="E4">
        <v>2.83</v>
      </c>
      <c r="F4">
        <v>3.48</v>
      </c>
      <c r="G4">
        <v>3.48</v>
      </c>
      <c r="H4">
        <v>2.73</v>
      </c>
      <c r="I4" t="s">
        <v>31</v>
      </c>
    </row>
    <row r="5" spans="1:9" x14ac:dyDescent="0.25">
      <c r="A5" t="s">
        <v>478</v>
      </c>
      <c r="B5" t="s">
        <v>9</v>
      </c>
      <c r="C5">
        <v>1</v>
      </c>
      <c r="D5">
        <v>2014</v>
      </c>
      <c r="E5">
        <v>3.86</v>
      </c>
      <c r="F5">
        <v>4.21</v>
      </c>
      <c r="G5">
        <v>4.26</v>
      </c>
      <c r="H5">
        <v>3.84</v>
      </c>
      <c r="I5" t="s">
        <v>29</v>
      </c>
    </row>
    <row r="6" spans="1:9" x14ac:dyDescent="0.25">
      <c r="A6" t="s">
        <v>479</v>
      </c>
      <c r="B6" t="s">
        <v>9</v>
      </c>
      <c r="C6">
        <v>1</v>
      </c>
      <c r="D6">
        <v>2015</v>
      </c>
      <c r="E6">
        <v>7.37</v>
      </c>
      <c r="F6">
        <v>6.75</v>
      </c>
      <c r="G6">
        <v>7.97</v>
      </c>
      <c r="H6">
        <v>6.32</v>
      </c>
      <c r="I6" t="s">
        <v>26</v>
      </c>
    </row>
    <row r="7" spans="1:9" x14ac:dyDescent="0.25">
      <c r="A7" t="s">
        <v>480</v>
      </c>
      <c r="B7" t="s">
        <v>9</v>
      </c>
      <c r="C7">
        <v>1</v>
      </c>
      <c r="D7">
        <v>2016</v>
      </c>
      <c r="E7">
        <v>9.02</v>
      </c>
      <c r="F7">
        <v>9.61</v>
      </c>
      <c r="G7">
        <v>9.77</v>
      </c>
      <c r="H7">
        <v>8.83</v>
      </c>
      <c r="I7" t="s">
        <v>20</v>
      </c>
    </row>
    <row r="8" spans="1:9" x14ac:dyDescent="0.25">
      <c r="A8" t="s">
        <v>481</v>
      </c>
      <c r="B8" t="s">
        <v>9</v>
      </c>
      <c r="C8">
        <v>1</v>
      </c>
      <c r="D8">
        <v>2017</v>
      </c>
      <c r="E8">
        <v>8.9700000000000006</v>
      </c>
      <c r="F8">
        <v>8.83</v>
      </c>
      <c r="G8">
        <v>9.23</v>
      </c>
      <c r="H8">
        <v>8.7899999999999991</v>
      </c>
      <c r="I8" t="s">
        <v>23</v>
      </c>
    </row>
    <row r="9" spans="1:9" x14ac:dyDescent="0.25">
      <c r="A9" t="s">
        <v>482</v>
      </c>
      <c r="B9" t="s">
        <v>9</v>
      </c>
      <c r="C9">
        <v>1</v>
      </c>
      <c r="D9">
        <v>2018</v>
      </c>
      <c r="E9">
        <v>12.85</v>
      </c>
      <c r="F9">
        <v>13.66</v>
      </c>
      <c r="G9">
        <v>14.07</v>
      </c>
      <c r="H9">
        <v>12.47</v>
      </c>
      <c r="I9" t="s">
        <v>22</v>
      </c>
    </row>
    <row r="10" spans="1:9" x14ac:dyDescent="0.25">
      <c r="A10" t="s">
        <v>483</v>
      </c>
      <c r="B10" t="s">
        <v>9</v>
      </c>
      <c r="C10">
        <v>1</v>
      </c>
      <c r="D10">
        <v>2019</v>
      </c>
      <c r="E10">
        <v>14.81</v>
      </c>
      <c r="F10">
        <v>14.82</v>
      </c>
      <c r="G10">
        <v>14.97</v>
      </c>
      <c r="H10">
        <v>13.13</v>
      </c>
      <c r="I10" t="s">
        <v>19</v>
      </c>
    </row>
    <row r="11" spans="1:9" x14ac:dyDescent="0.25">
      <c r="A11" t="s">
        <v>484</v>
      </c>
      <c r="B11" t="s">
        <v>9</v>
      </c>
      <c r="C11">
        <v>1</v>
      </c>
      <c r="D11">
        <v>2020</v>
      </c>
      <c r="E11">
        <v>33.049999999999997</v>
      </c>
      <c r="F11">
        <v>29.74</v>
      </c>
      <c r="G11">
        <v>34.380000000000003</v>
      </c>
      <c r="H11">
        <v>28.3</v>
      </c>
      <c r="I11" t="s">
        <v>16</v>
      </c>
    </row>
    <row r="12" spans="1:9" x14ac:dyDescent="0.25">
      <c r="A12" t="s">
        <v>485</v>
      </c>
      <c r="B12" t="s">
        <v>9</v>
      </c>
      <c r="C12">
        <v>1</v>
      </c>
      <c r="D12">
        <v>2021</v>
      </c>
      <c r="E12">
        <v>72.02</v>
      </c>
      <c r="F12">
        <v>68.900000000000006</v>
      </c>
      <c r="G12">
        <v>78.09</v>
      </c>
      <c r="H12">
        <v>66.92</v>
      </c>
      <c r="I12" t="s">
        <v>14</v>
      </c>
    </row>
    <row r="13" spans="1:9" x14ac:dyDescent="0.25">
      <c r="A13" t="s">
        <v>486</v>
      </c>
      <c r="B13" t="s">
        <v>9</v>
      </c>
      <c r="C13">
        <v>1</v>
      </c>
      <c r="D13">
        <v>2022</v>
      </c>
      <c r="E13">
        <v>92.16</v>
      </c>
      <c r="F13">
        <v>99.3</v>
      </c>
      <c r="G13">
        <v>105.06</v>
      </c>
      <c r="H13">
        <v>85.46</v>
      </c>
      <c r="I13" t="s">
        <v>10</v>
      </c>
    </row>
    <row r="14" spans="1:9" x14ac:dyDescent="0.25">
      <c r="A14" t="s">
        <v>487</v>
      </c>
      <c r="B14" t="s">
        <v>35</v>
      </c>
      <c r="C14">
        <v>1</v>
      </c>
      <c r="D14">
        <v>2000</v>
      </c>
      <c r="E14">
        <v>21.03</v>
      </c>
      <c r="F14">
        <v>22.08</v>
      </c>
      <c r="G14">
        <v>22.13</v>
      </c>
      <c r="H14">
        <v>20.2</v>
      </c>
      <c r="I14" t="s">
        <v>63</v>
      </c>
    </row>
    <row r="15" spans="1:9" x14ac:dyDescent="0.25">
      <c r="A15" t="s">
        <v>488</v>
      </c>
      <c r="B15" t="s">
        <v>35</v>
      </c>
      <c r="C15">
        <v>1</v>
      </c>
      <c r="D15">
        <v>2001</v>
      </c>
      <c r="E15">
        <v>14.39</v>
      </c>
      <c r="F15">
        <v>13</v>
      </c>
      <c r="G15">
        <v>14.94</v>
      </c>
      <c r="H15">
        <v>11.62</v>
      </c>
      <c r="I15" t="s">
        <v>7</v>
      </c>
    </row>
    <row r="16" spans="1:9" x14ac:dyDescent="0.25">
      <c r="A16" t="s">
        <v>489</v>
      </c>
      <c r="B16" t="s">
        <v>35</v>
      </c>
      <c r="C16">
        <v>1</v>
      </c>
      <c r="D16">
        <v>2002</v>
      </c>
      <c r="E16">
        <v>11.07</v>
      </c>
      <c r="F16">
        <v>11.76</v>
      </c>
      <c r="G16">
        <v>12.31</v>
      </c>
      <c r="H16">
        <v>11.07</v>
      </c>
      <c r="I16" t="s">
        <v>62</v>
      </c>
    </row>
    <row r="17" spans="1:9" x14ac:dyDescent="0.25">
      <c r="A17" t="s">
        <v>490</v>
      </c>
      <c r="B17" t="s">
        <v>35</v>
      </c>
      <c r="C17">
        <v>1</v>
      </c>
      <c r="D17">
        <v>2003</v>
      </c>
      <c r="E17">
        <v>12.42</v>
      </c>
      <c r="F17">
        <v>13</v>
      </c>
      <c r="G17">
        <v>13.11</v>
      </c>
      <c r="H17">
        <v>11.48</v>
      </c>
      <c r="I17" t="s">
        <v>60</v>
      </c>
    </row>
    <row r="18" spans="1:9" x14ac:dyDescent="0.25">
      <c r="A18" t="s">
        <v>491</v>
      </c>
      <c r="B18" t="s">
        <v>35</v>
      </c>
      <c r="C18">
        <v>1</v>
      </c>
      <c r="D18">
        <v>2004</v>
      </c>
      <c r="E18">
        <v>17.96</v>
      </c>
      <c r="F18">
        <v>17.71</v>
      </c>
      <c r="G18">
        <v>19.37</v>
      </c>
      <c r="H18">
        <v>17.43</v>
      </c>
      <c r="I18" t="s">
        <v>59</v>
      </c>
    </row>
    <row r="19" spans="1:9" x14ac:dyDescent="0.25">
      <c r="A19" t="s">
        <v>492</v>
      </c>
      <c r="B19" t="s">
        <v>35</v>
      </c>
      <c r="C19">
        <v>1</v>
      </c>
      <c r="D19">
        <v>2005</v>
      </c>
      <c r="E19">
        <v>35.14</v>
      </c>
      <c r="F19">
        <v>38.729999999999997</v>
      </c>
      <c r="G19">
        <v>39.01</v>
      </c>
      <c r="H19">
        <v>34.4</v>
      </c>
      <c r="I19" t="s">
        <v>58</v>
      </c>
    </row>
    <row r="20" spans="1:9" x14ac:dyDescent="0.25">
      <c r="A20" t="s">
        <v>493</v>
      </c>
      <c r="B20" t="s">
        <v>35</v>
      </c>
      <c r="C20">
        <v>1</v>
      </c>
      <c r="D20">
        <v>2006</v>
      </c>
      <c r="E20">
        <v>21.34</v>
      </c>
      <c r="F20">
        <v>20.8</v>
      </c>
      <c r="G20">
        <v>22.68</v>
      </c>
      <c r="H20">
        <v>20.61</v>
      </c>
      <c r="I20" t="s">
        <v>57</v>
      </c>
    </row>
    <row r="21" spans="1:9" x14ac:dyDescent="0.25">
      <c r="A21" t="s">
        <v>494</v>
      </c>
      <c r="B21" t="s">
        <v>35</v>
      </c>
      <c r="C21">
        <v>1</v>
      </c>
      <c r="D21">
        <v>2007</v>
      </c>
      <c r="E21">
        <v>26.96</v>
      </c>
      <c r="F21">
        <v>26.28</v>
      </c>
      <c r="G21">
        <v>27.39</v>
      </c>
      <c r="H21">
        <v>25.23</v>
      </c>
      <c r="I21" t="s">
        <v>56</v>
      </c>
    </row>
    <row r="22" spans="1:9" x14ac:dyDescent="0.25">
      <c r="A22" t="s">
        <v>495</v>
      </c>
      <c r="B22" t="s">
        <v>35</v>
      </c>
      <c r="C22">
        <v>1</v>
      </c>
      <c r="D22">
        <v>2008</v>
      </c>
      <c r="E22">
        <v>3.2</v>
      </c>
      <c r="F22">
        <v>3.48</v>
      </c>
      <c r="G22">
        <v>3.48</v>
      </c>
      <c r="H22">
        <v>2.97</v>
      </c>
      <c r="I22" t="s">
        <v>55</v>
      </c>
    </row>
    <row r="23" spans="1:9" x14ac:dyDescent="0.25">
      <c r="A23" t="s">
        <v>496</v>
      </c>
      <c r="B23" t="s">
        <v>35</v>
      </c>
      <c r="C23">
        <v>1</v>
      </c>
      <c r="D23">
        <v>2009</v>
      </c>
      <c r="E23">
        <v>2.31</v>
      </c>
      <c r="F23">
        <v>2.38</v>
      </c>
      <c r="G23">
        <v>2.54</v>
      </c>
      <c r="H23">
        <v>2.21</v>
      </c>
      <c r="I23" t="s">
        <v>50</v>
      </c>
    </row>
    <row r="24" spans="1:9" x14ac:dyDescent="0.25">
      <c r="A24" t="s">
        <v>497</v>
      </c>
      <c r="B24" t="s">
        <v>35</v>
      </c>
      <c r="C24">
        <v>1</v>
      </c>
      <c r="D24">
        <v>2010</v>
      </c>
      <c r="E24">
        <v>4.3600000000000003</v>
      </c>
      <c r="F24">
        <v>4.3099999999999996</v>
      </c>
      <c r="G24">
        <v>4.67</v>
      </c>
      <c r="H24">
        <v>4.2699999999999996</v>
      </c>
      <c r="I24" t="s">
        <v>49</v>
      </c>
    </row>
    <row r="25" spans="1:9" x14ac:dyDescent="0.25">
      <c r="A25" t="s">
        <v>498</v>
      </c>
      <c r="B25" t="s">
        <v>35</v>
      </c>
      <c r="C25">
        <v>1</v>
      </c>
      <c r="D25">
        <v>2011</v>
      </c>
      <c r="E25">
        <v>5.44</v>
      </c>
      <c r="F25">
        <v>6.19</v>
      </c>
      <c r="G25">
        <v>6.3</v>
      </c>
      <c r="H25">
        <v>5.33</v>
      </c>
      <c r="I25" t="s">
        <v>48</v>
      </c>
    </row>
    <row r="26" spans="1:9" x14ac:dyDescent="0.25">
      <c r="A26" t="s">
        <v>499</v>
      </c>
      <c r="B26" t="s">
        <v>35</v>
      </c>
      <c r="C26">
        <v>1</v>
      </c>
      <c r="D26">
        <v>2012</v>
      </c>
      <c r="E26">
        <v>7.75</v>
      </c>
      <c r="F26">
        <v>8.1199999999999992</v>
      </c>
      <c r="G26">
        <v>8.19</v>
      </c>
      <c r="H26">
        <v>7.55</v>
      </c>
      <c r="I26" t="s">
        <v>46</v>
      </c>
    </row>
    <row r="27" spans="1:9" x14ac:dyDescent="0.25">
      <c r="A27" t="s">
        <v>500</v>
      </c>
      <c r="B27" t="s">
        <v>35</v>
      </c>
      <c r="C27">
        <v>1</v>
      </c>
      <c r="D27">
        <v>2013</v>
      </c>
      <c r="E27">
        <v>13.96</v>
      </c>
      <c r="F27">
        <v>13.08</v>
      </c>
      <c r="G27">
        <v>14.18</v>
      </c>
      <c r="H27">
        <v>13</v>
      </c>
      <c r="I27" t="s">
        <v>45</v>
      </c>
    </row>
    <row r="28" spans="1:9" x14ac:dyDescent="0.25">
      <c r="A28" t="s">
        <v>501</v>
      </c>
      <c r="B28" t="s">
        <v>35</v>
      </c>
      <c r="C28">
        <v>1</v>
      </c>
      <c r="D28">
        <v>2014</v>
      </c>
      <c r="E28">
        <v>12.86</v>
      </c>
      <c r="F28">
        <v>13.62</v>
      </c>
      <c r="G28">
        <v>13.83</v>
      </c>
      <c r="H28">
        <v>12.39</v>
      </c>
      <c r="I28" t="s">
        <v>44</v>
      </c>
    </row>
    <row r="29" spans="1:9" x14ac:dyDescent="0.25">
      <c r="A29" t="s">
        <v>502</v>
      </c>
      <c r="B29" t="s">
        <v>35</v>
      </c>
      <c r="C29">
        <v>1</v>
      </c>
      <c r="D29">
        <v>2015</v>
      </c>
      <c r="E29">
        <v>14.74</v>
      </c>
      <c r="F29">
        <v>13.42</v>
      </c>
      <c r="G29">
        <v>14.94</v>
      </c>
      <c r="H29">
        <v>12.92</v>
      </c>
      <c r="I29" t="s">
        <v>43</v>
      </c>
    </row>
    <row r="30" spans="1:9" x14ac:dyDescent="0.25">
      <c r="A30" t="s">
        <v>503</v>
      </c>
      <c r="B30" t="s">
        <v>35</v>
      </c>
      <c r="C30">
        <v>1</v>
      </c>
      <c r="D30">
        <v>2016</v>
      </c>
      <c r="E30">
        <v>16.02</v>
      </c>
      <c r="F30">
        <v>15.22</v>
      </c>
      <c r="G30">
        <v>16.02</v>
      </c>
      <c r="H30">
        <v>13.73</v>
      </c>
      <c r="I30" t="s">
        <v>42</v>
      </c>
    </row>
    <row r="31" spans="1:9" x14ac:dyDescent="0.25">
      <c r="A31" t="s">
        <v>504</v>
      </c>
      <c r="B31" t="s">
        <v>35</v>
      </c>
      <c r="C31">
        <v>1</v>
      </c>
      <c r="D31">
        <v>2017</v>
      </c>
      <c r="E31">
        <v>15.37</v>
      </c>
      <c r="F31">
        <v>14.54</v>
      </c>
      <c r="G31">
        <v>15.61</v>
      </c>
      <c r="H31">
        <v>14.39</v>
      </c>
      <c r="I31" t="s">
        <v>41</v>
      </c>
    </row>
    <row r="32" spans="1:9" x14ac:dyDescent="0.25">
      <c r="A32" t="s">
        <v>505</v>
      </c>
      <c r="B32" t="s">
        <v>35</v>
      </c>
      <c r="C32">
        <v>1</v>
      </c>
      <c r="D32">
        <v>2018</v>
      </c>
      <c r="E32">
        <v>20.079999999999998</v>
      </c>
      <c r="F32">
        <v>19.52</v>
      </c>
      <c r="G32">
        <v>20.37</v>
      </c>
      <c r="H32">
        <v>19.37</v>
      </c>
      <c r="I32" t="s">
        <v>40</v>
      </c>
    </row>
    <row r="33" spans="1:9" x14ac:dyDescent="0.25">
      <c r="A33" t="s">
        <v>506</v>
      </c>
      <c r="B33" t="s">
        <v>35</v>
      </c>
      <c r="C33">
        <v>1</v>
      </c>
      <c r="D33">
        <v>2019</v>
      </c>
      <c r="E33">
        <v>16.54</v>
      </c>
      <c r="F33">
        <v>14.55</v>
      </c>
      <c r="G33">
        <v>17.2</v>
      </c>
      <c r="H33">
        <v>14.55</v>
      </c>
      <c r="I33" t="s">
        <v>39</v>
      </c>
    </row>
    <row r="34" spans="1:9" x14ac:dyDescent="0.25">
      <c r="A34" t="s">
        <v>507</v>
      </c>
      <c r="B34" t="s">
        <v>35</v>
      </c>
      <c r="C34">
        <v>1</v>
      </c>
      <c r="D34">
        <v>2020</v>
      </c>
      <c r="E34">
        <v>17.309999999999999</v>
      </c>
      <c r="F34">
        <v>18.29</v>
      </c>
      <c r="G34">
        <v>18.989999999999998</v>
      </c>
      <c r="H34">
        <v>17.239999999999998</v>
      </c>
      <c r="I34" t="s">
        <v>38</v>
      </c>
    </row>
    <row r="35" spans="1:9" x14ac:dyDescent="0.25">
      <c r="A35" t="s">
        <v>508</v>
      </c>
      <c r="B35" t="s">
        <v>35</v>
      </c>
      <c r="C35">
        <v>1</v>
      </c>
      <c r="D35">
        <v>2021</v>
      </c>
      <c r="E35">
        <v>15.11</v>
      </c>
      <c r="F35">
        <v>15.72</v>
      </c>
      <c r="G35">
        <v>16.829999999999998</v>
      </c>
      <c r="H35">
        <v>14.95</v>
      </c>
      <c r="I35" t="s">
        <v>37</v>
      </c>
    </row>
    <row r="36" spans="1:9" x14ac:dyDescent="0.25">
      <c r="A36" t="s">
        <v>509</v>
      </c>
      <c r="B36" t="s">
        <v>35</v>
      </c>
      <c r="C36">
        <v>1</v>
      </c>
      <c r="D36">
        <v>2022</v>
      </c>
      <c r="E36">
        <v>14.97</v>
      </c>
      <c r="F36">
        <v>15.42</v>
      </c>
      <c r="G36">
        <v>15.54</v>
      </c>
      <c r="H36">
        <v>14.35</v>
      </c>
      <c r="I36" t="s">
        <v>36</v>
      </c>
    </row>
    <row r="37" spans="1:9" x14ac:dyDescent="0.25">
      <c r="A37" t="s">
        <v>510</v>
      </c>
      <c r="B37" t="s">
        <v>65</v>
      </c>
      <c r="C37">
        <v>1</v>
      </c>
      <c r="D37">
        <v>2020</v>
      </c>
      <c r="E37">
        <v>30.01</v>
      </c>
      <c r="F37">
        <v>26.78</v>
      </c>
      <c r="G37">
        <v>30.01</v>
      </c>
      <c r="H37">
        <v>26.78</v>
      </c>
      <c r="I37" t="s">
        <v>68</v>
      </c>
    </row>
    <row r="38" spans="1:9" x14ac:dyDescent="0.25">
      <c r="A38" t="s">
        <v>511</v>
      </c>
      <c r="B38" t="s">
        <v>65</v>
      </c>
      <c r="C38">
        <v>1</v>
      </c>
      <c r="D38">
        <v>2021</v>
      </c>
      <c r="E38">
        <v>50.5</v>
      </c>
      <c r="F38">
        <v>51.75</v>
      </c>
      <c r="G38">
        <v>53.11</v>
      </c>
      <c r="H38">
        <v>48.15</v>
      </c>
      <c r="I38" t="s">
        <v>67</v>
      </c>
    </row>
    <row r="39" spans="1:9" x14ac:dyDescent="0.25">
      <c r="A39" t="s">
        <v>512</v>
      </c>
      <c r="B39" t="s">
        <v>65</v>
      </c>
      <c r="C39">
        <v>1</v>
      </c>
      <c r="D39">
        <v>2022</v>
      </c>
      <c r="E39">
        <v>56.69</v>
      </c>
      <c r="F39">
        <v>63.29</v>
      </c>
      <c r="G39">
        <v>64.75</v>
      </c>
      <c r="H39">
        <v>51.86</v>
      </c>
      <c r="I39" t="s">
        <v>66</v>
      </c>
    </row>
    <row r="40" spans="1:9" x14ac:dyDescent="0.25">
      <c r="A40" t="s">
        <v>513</v>
      </c>
      <c r="B40" t="s">
        <v>70</v>
      </c>
      <c r="C40">
        <v>1</v>
      </c>
      <c r="D40">
        <v>2013</v>
      </c>
      <c r="E40">
        <v>3.45</v>
      </c>
      <c r="F40">
        <v>3.31</v>
      </c>
      <c r="G40">
        <v>3.58</v>
      </c>
      <c r="H40">
        <v>3.31</v>
      </c>
      <c r="I40" t="s">
        <v>21</v>
      </c>
    </row>
    <row r="41" spans="1:9" x14ac:dyDescent="0.25">
      <c r="A41" t="s">
        <v>514</v>
      </c>
      <c r="B41" t="s">
        <v>70</v>
      </c>
      <c r="C41">
        <v>1</v>
      </c>
      <c r="D41">
        <v>2014</v>
      </c>
      <c r="E41">
        <v>5.73</v>
      </c>
      <c r="F41">
        <v>5.73</v>
      </c>
      <c r="G41">
        <v>5.73</v>
      </c>
      <c r="H41">
        <v>5.73</v>
      </c>
      <c r="I41" t="s">
        <v>80</v>
      </c>
    </row>
    <row r="42" spans="1:9" x14ac:dyDescent="0.25">
      <c r="A42" t="s">
        <v>515</v>
      </c>
      <c r="B42" t="s">
        <v>70</v>
      </c>
      <c r="C42">
        <v>1</v>
      </c>
      <c r="D42">
        <v>2015</v>
      </c>
      <c r="E42">
        <v>6.11</v>
      </c>
      <c r="F42">
        <v>5.29</v>
      </c>
      <c r="G42">
        <v>6.11</v>
      </c>
      <c r="H42">
        <v>4.8</v>
      </c>
      <c r="I42" t="s">
        <v>30</v>
      </c>
    </row>
    <row r="43" spans="1:9" x14ac:dyDescent="0.25">
      <c r="A43" t="s">
        <v>516</v>
      </c>
      <c r="B43" t="s">
        <v>70</v>
      </c>
      <c r="C43">
        <v>1</v>
      </c>
      <c r="D43">
        <v>2016</v>
      </c>
      <c r="E43">
        <v>14.97</v>
      </c>
      <c r="F43">
        <v>16.54</v>
      </c>
      <c r="G43">
        <v>16.54</v>
      </c>
      <c r="H43">
        <v>14.76</v>
      </c>
      <c r="I43" t="s">
        <v>77</v>
      </c>
    </row>
    <row r="44" spans="1:9" x14ac:dyDescent="0.25">
      <c r="A44" t="s">
        <v>517</v>
      </c>
      <c r="B44" t="s">
        <v>70</v>
      </c>
      <c r="C44">
        <v>1</v>
      </c>
      <c r="D44">
        <v>2017</v>
      </c>
      <c r="E44">
        <v>16.5</v>
      </c>
      <c r="F44">
        <v>15.53</v>
      </c>
      <c r="G44">
        <v>17.04</v>
      </c>
      <c r="H44">
        <v>15.5</v>
      </c>
      <c r="I44" t="s">
        <v>76</v>
      </c>
    </row>
    <row r="45" spans="1:9" x14ac:dyDescent="0.25">
      <c r="A45" t="s">
        <v>518</v>
      </c>
      <c r="B45" t="s">
        <v>70</v>
      </c>
      <c r="C45">
        <v>1</v>
      </c>
      <c r="D45">
        <v>2018</v>
      </c>
      <c r="E45">
        <v>29.78</v>
      </c>
      <c r="F45">
        <v>24.47</v>
      </c>
      <c r="G45">
        <v>29.78</v>
      </c>
      <c r="H45">
        <v>24.47</v>
      </c>
      <c r="I45" t="s">
        <v>75</v>
      </c>
    </row>
    <row r="46" spans="1:9" x14ac:dyDescent="0.25">
      <c r="A46" t="s">
        <v>519</v>
      </c>
      <c r="B46" t="s">
        <v>70</v>
      </c>
      <c r="C46">
        <v>1</v>
      </c>
      <c r="D46">
        <v>2019</v>
      </c>
      <c r="E46">
        <v>39.83</v>
      </c>
      <c r="F46">
        <v>36.380000000000003</v>
      </c>
      <c r="G46">
        <v>41.09</v>
      </c>
      <c r="H46">
        <v>36.380000000000003</v>
      </c>
      <c r="I46" t="s">
        <v>73</v>
      </c>
    </row>
    <row r="47" spans="1:9" x14ac:dyDescent="0.25">
      <c r="A47" t="s">
        <v>520</v>
      </c>
      <c r="B47" t="s">
        <v>70</v>
      </c>
      <c r="C47">
        <v>1</v>
      </c>
      <c r="D47">
        <v>2020</v>
      </c>
      <c r="E47">
        <v>55.15</v>
      </c>
      <c r="F47">
        <v>48.36</v>
      </c>
      <c r="G47">
        <v>55.49</v>
      </c>
      <c r="H47">
        <v>47.94</v>
      </c>
      <c r="I47" t="s">
        <v>72</v>
      </c>
    </row>
    <row r="48" spans="1:9" x14ac:dyDescent="0.25">
      <c r="A48" t="s">
        <v>521</v>
      </c>
      <c r="B48" t="s">
        <v>70</v>
      </c>
      <c r="C48">
        <v>1</v>
      </c>
      <c r="D48">
        <v>2021</v>
      </c>
      <c r="E48">
        <v>112</v>
      </c>
      <c r="F48">
        <v>109</v>
      </c>
      <c r="G48">
        <v>115.4</v>
      </c>
      <c r="H48">
        <v>103.5</v>
      </c>
      <c r="I48" t="s">
        <v>52</v>
      </c>
    </row>
    <row r="49" spans="1:9" x14ac:dyDescent="0.25">
      <c r="A49" t="s">
        <v>522</v>
      </c>
      <c r="B49" t="s">
        <v>70</v>
      </c>
      <c r="C49">
        <v>1</v>
      </c>
      <c r="D49">
        <v>2022</v>
      </c>
      <c r="E49">
        <v>100.9</v>
      </c>
      <c r="F49">
        <v>119.55</v>
      </c>
      <c r="G49">
        <v>124.3</v>
      </c>
      <c r="H49">
        <v>95</v>
      </c>
      <c r="I49" t="s">
        <v>71</v>
      </c>
    </row>
    <row r="50" spans="1:9" x14ac:dyDescent="0.25">
      <c r="A50" t="s">
        <v>523</v>
      </c>
      <c r="B50" t="s">
        <v>82</v>
      </c>
      <c r="C50">
        <v>1</v>
      </c>
      <c r="D50">
        <v>2012</v>
      </c>
      <c r="E50">
        <v>23.15</v>
      </c>
      <c r="F50">
        <v>18.46</v>
      </c>
      <c r="G50">
        <v>23.36</v>
      </c>
      <c r="H50">
        <v>18.43</v>
      </c>
      <c r="I50" t="s">
        <v>94</v>
      </c>
    </row>
    <row r="51" spans="1:9" x14ac:dyDescent="0.25">
      <c r="A51" t="s">
        <v>524</v>
      </c>
      <c r="B51" t="s">
        <v>82</v>
      </c>
      <c r="C51">
        <v>1</v>
      </c>
      <c r="D51">
        <v>2013</v>
      </c>
      <c r="E51">
        <v>30.05</v>
      </c>
      <c r="F51">
        <v>32.15</v>
      </c>
      <c r="G51">
        <v>32.799999999999997</v>
      </c>
      <c r="H51">
        <v>28.91</v>
      </c>
      <c r="I51" t="s">
        <v>54</v>
      </c>
    </row>
    <row r="52" spans="1:9" x14ac:dyDescent="0.25">
      <c r="A52" t="s">
        <v>525</v>
      </c>
      <c r="B52" t="s">
        <v>82</v>
      </c>
      <c r="C52">
        <v>1</v>
      </c>
      <c r="D52">
        <v>2014</v>
      </c>
      <c r="E52">
        <v>21.19</v>
      </c>
      <c r="F52">
        <v>24.2</v>
      </c>
      <c r="G52">
        <v>25.82</v>
      </c>
      <c r="H52">
        <v>19.75</v>
      </c>
      <c r="I52" t="s">
        <v>92</v>
      </c>
    </row>
    <row r="53" spans="1:9" x14ac:dyDescent="0.25">
      <c r="A53" t="s">
        <v>526</v>
      </c>
      <c r="B53" t="s">
        <v>82</v>
      </c>
      <c r="C53">
        <v>1</v>
      </c>
      <c r="D53">
        <v>2015</v>
      </c>
      <c r="E53">
        <v>19.559999999999999</v>
      </c>
      <c r="F53">
        <v>22.22</v>
      </c>
      <c r="G53">
        <v>22.78</v>
      </c>
      <c r="H53">
        <v>19.559999999999999</v>
      </c>
      <c r="I53" t="s">
        <v>91</v>
      </c>
    </row>
    <row r="54" spans="1:9" x14ac:dyDescent="0.25">
      <c r="A54" t="s">
        <v>527</v>
      </c>
      <c r="B54" t="s">
        <v>82</v>
      </c>
      <c r="C54">
        <v>1</v>
      </c>
      <c r="D54">
        <v>2016</v>
      </c>
      <c r="E54">
        <v>16.350000000000001</v>
      </c>
      <c r="F54">
        <v>18.03</v>
      </c>
      <c r="G54">
        <v>18.04</v>
      </c>
      <c r="H54">
        <v>15.84</v>
      </c>
      <c r="I54" t="s">
        <v>25</v>
      </c>
    </row>
    <row r="55" spans="1:9" x14ac:dyDescent="0.25">
      <c r="A55" t="s">
        <v>528</v>
      </c>
      <c r="B55" t="s">
        <v>82</v>
      </c>
      <c r="C55">
        <v>1</v>
      </c>
      <c r="D55">
        <v>2017</v>
      </c>
      <c r="E55">
        <v>25.88</v>
      </c>
      <c r="F55">
        <v>22.29</v>
      </c>
      <c r="G55">
        <v>26.02</v>
      </c>
      <c r="H55">
        <v>21.71</v>
      </c>
      <c r="I55" t="s">
        <v>12</v>
      </c>
    </row>
    <row r="56" spans="1:9" x14ac:dyDescent="0.25">
      <c r="A56" t="s">
        <v>529</v>
      </c>
      <c r="B56" t="s">
        <v>82</v>
      </c>
      <c r="C56">
        <v>1</v>
      </c>
      <c r="D56">
        <v>2018</v>
      </c>
      <c r="E56">
        <v>55.97</v>
      </c>
      <c r="F56">
        <v>51.22</v>
      </c>
      <c r="G56">
        <v>58.17</v>
      </c>
      <c r="H56">
        <v>50.92</v>
      </c>
      <c r="I56" t="s">
        <v>89</v>
      </c>
    </row>
    <row r="57" spans="1:9" x14ac:dyDescent="0.25">
      <c r="A57" t="s">
        <v>530</v>
      </c>
      <c r="B57" t="s">
        <v>82</v>
      </c>
      <c r="C57">
        <v>1</v>
      </c>
      <c r="D57">
        <v>2019</v>
      </c>
      <c r="E57">
        <v>52.94</v>
      </c>
      <c r="F57">
        <v>52.21</v>
      </c>
      <c r="G57">
        <v>53.5</v>
      </c>
      <c r="H57">
        <v>47.98</v>
      </c>
      <c r="I57" t="s">
        <v>88</v>
      </c>
    </row>
    <row r="58" spans="1:9" x14ac:dyDescent="0.25">
      <c r="A58" t="s">
        <v>531</v>
      </c>
      <c r="B58" t="s">
        <v>82</v>
      </c>
      <c r="C58">
        <v>1</v>
      </c>
      <c r="D58">
        <v>2020</v>
      </c>
      <c r="E58">
        <v>59.78</v>
      </c>
      <c r="F58">
        <v>63.45</v>
      </c>
      <c r="G58">
        <v>66.02</v>
      </c>
      <c r="H58">
        <v>59.14</v>
      </c>
      <c r="I58" t="s">
        <v>87</v>
      </c>
    </row>
    <row r="59" spans="1:9" x14ac:dyDescent="0.25">
      <c r="A59" t="s">
        <v>532</v>
      </c>
      <c r="B59" t="s">
        <v>82</v>
      </c>
      <c r="C59">
        <v>1</v>
      </c>
      <c r="D59">
        <v>2021</v>
      </c>
      <c r="E59">
        <v>70.569999999999993</v>
      </c>
      <c r="F59">
        <v>68.180000000000007</v>
      </c>
      <c r="G59">
        <v>73.61</v>
      </c>
      <c r="H59">
        <v>62.11</v>
      </c>
      <c r="I59" t="s">
        <v>84</v>
      </c>
    </row>
    <row r="60" spans="1:9" x14ac:dyDescent="0.25">
      <c r="A60" t="s">
        <v>533</v>
      </c>
      <c r="B60" t="s">
        <v>82</v>
      </c>
      <c r="C60">
        <v>1</v>
      </c>
      <c r="D60">
        <v>2022</v>
      </c>
      <c r="E60">
        <v>81.790000000000006</v>
      </c>
      <c r="F60">
        <v>78</v>
      </c>
      <c r="G60">
        <v>84.72</v>
      </c>
      <c r="H60">
        <v>63.39</v>
      </c>
      <c r="I60" t="s">
        <v>83</v>
      </c>
    </row>
    <row r="61" spans="1:9" x14ac:dyDescent="0.25">
      <c r="A61" t="s">
        <v>534</v>
      </c>
      <c r="B61" t="s">
        <v>98</v>
      </c>
      <c r="C61">
        <v>1</v>
      </c>
      <c r="D61">
        <v>2009</v>
      </c>
      <c r="E61">
        <v>1.38</v>
      </c>
      <c r="F61">
        <v>1.27</v>
      </c>
      <c r="G61">
        <v>1.47</v>
      </c>
      <c r="H61">
        <v>1.17</v>
      </c>
      <c r="I61" t="s">
        <v>104</v>
      </c>
    </row>
    <row r="62" spans="1:9" x14ac:dyDescent="0.25">
      <c r="A62" t="s">
        <v>535</v>
      </c>
      <c r="B62" t="s">
        <v>98</v>
      </c>
      <c r="C62">
        <v>1</v>
      </c>
      <c r="D62">
        <v>2010</v>
      </c>
      <c r="E62">
        <v>2.68</v>
      </c>
      <c r="F62">
        <v>2.59</v>
      </c>
      <c r="G62">
        <v>2.94</v>
      </c>
      <c r="H62">
        <v>2.54</v>
      </c>
      <c r="I62" t="s">
        <v>112</v>
      </c>
    </row>
    <row r="63" spans="1:9" x14ac:dyDescent="0.25">
      <c r="A63" t="s">
        <v>536</v>
      </c>
      <c r="B63" t="s">
        <v>98</v>
      </c>
      <c r="C63">
        <v>1</v>
      </c>
      <c r="D63">
        <v>2011</v>
      </c>
      <c r="E63">
        <v>2.56</v>
      </c>
      <c r="F63">
        <v>2.91</v>
      </c>
      <c r="G63">
        <v>2.97</v>
      </c>
      <c r="H63">
        <v>2.5299999999999998</v>
      </c>
      <c r="I63" t="s">
        <v>111</v>
      </c>
    </row>
    <row r="64" spans="1:9" x14ac:dyDescent="0.25">
      <c r="A64" t="s">
        <v>537</v>
      </c>
      <c r="B64" t="s">
        <v>98</v>
      </c>
      <c r="C64">
        <v>1</v>
      </c>
      <c r="D64">
        <v>2012</v>
      </c>
      <c r="E64">
        <v>2.54</v>
      </c>
      <c r="F64">
        <v>2.2599999999999998</v>
      </c>
      <c r="G64">
        <v>2.58</v>
      </c>
      <c r="H64">
        <v>2.23</v>
      </c>
      <c r="I64" t="s">
        <v>110</v>
      </c>
    </row>
    <row r="65" spans="1:9" x14ac:dyDescent="0.25">
      <c r="A65" t="s">
        <v>538</v>
      </c>
      <c r="B65" t="s">
        <v>98</v>
      </c>
      <c r="C65">
        <v>1</v>
      </c>
      <c r="D65">
        <v>2013</v>
      </c>
      <c r="E65">
        <v>3.37</v>
      </c>
      <c r="F65">
        <v>3.43</v>
      </c>
      <c r="G65">
        <v>3.46</v>
      </c>
      <c r="H65">
        <v>3.17</v>
      </c>
      <c r="I65" t="s">
        <v>109</v>
      </c>
    </row>
    <row r="66" spans="1:9" x14ac:dyDescent="0.25">
      <c r="A66" t="s">
        <v>539</v>
      </c>
      <c r="B66" t="s">
        <v>98</v>
      </c>
      <c r="C66">
        <v>1</v>
      </c>
      <c r="D66">
        <v>2014</v>
      </c>
      <c r="E66">
        <v>2.42</v>
      </c>
      <c r="F66">
        <v>2.83</v>
      </c>
      <c r="G66">
        <v>2.83</v>
      </c>
      <c r="H66">
        <v>2.34</v>
      </c>
      <c r="I66" t="s">
        <v>108</v>
      </c>
    </row>
    <row r="67" spans="1:9" x14ac:dyDescent="0.25">
      <c r="A67" t="s">
        <v>540</v>
      </c>
      <c r="B67" t="s">
        <v>98</v>
      </c>
      <c r="C67">
        <v>1</v>
      </c>
      <c r="D67">
        <v>2015</v>
      </c>
      <c r="E67">
        <v>2.38</v>
      </c>
      <c r="F67">
        <v>2.57</v>
      </c>
      <c r="G67">
        <v>2.63</v>
      </c>
      <c r="H67">
        <v>2.35</v>
      </c>
      <c r="I67" t="s">
        <v>107</v>
      </c>
    </row>
    <row r="68" spans="1:9" x14ac:dyDescent="0.25">
      <c r="A68" t="s">
        <v>541</v>
      </c>
      <c r="B68" t="s">
        <v>98</v>
      </c>
      <c r="C68">
        <v>1</v>
      </c>
      <c r="D68">
        <v>2016</v>
      </c>
      <c r="E68">
        <v>2.88</v>
      </c>
      <c r="F68">
        <v>3.01</v>
      </c>
      <c r="G68">
        <v>3.07</v>
      </c>
      <c r="H68">
        <v>2.73</v>
      </c>
      <c r="I68" t="s">
        <v>106</v>
      </c>
    </row>
    <row r="69" spans="1:9" x14ac:dyDescent="0.25">
      <c r="A69" t="s">
        <v>542</v>
      </c>
      <c r="B69" t="s">
        <v>98</v>
      </c>
      <c r="C69">
        <v>1</v>
      </c>
      <c r="D69">
        <v>2017</v>
      </c>
      <c r="E69">
        <v>5.35</v>
      </c>
      <c r="F69">
        <v>4.7</v>
      </c>
      <c r="G69">
        <v>5.4</v>
      </c>
      <c r="H69">
        <v>4.67</v>
      </c>
      <c r="I69" t="s">
        <v>105</v>
      </c>
    </row>
    <row r="70" spans="1:9" x14ac:dyDescent="0.25">
      <c r="A70" t="s">
        <v>543</v>
      </c>
      <c r="B70" t="s">
        <v>98</v>
      </c>
      <c r="C70">
        <v>1</v>
      </c>
      <c r="D70">
        <v>2018</v>
      </c>
      <c r="E70">
        <v>7.7</v>
      </c>
      <c r="F70">
        <v>6.76</v>
      </c>
      <c r="G70">
        <v>7.99</v>
      </c>
      <c r="H70">
        <v>6.7</v>
      </c>
      <c r="I70" t="s">
        <v>103</v>
      </c>
    </row>
    <row r="71" spans="1:9" x14ac:dyDescent="0.25">
      <c r="A71" t="s">
        <v>544</v>
      </c>
      <c r="B71" t="s">
        <v>98</v>
      </c>
      <c r="C71">
        <v>1</v>
      </c>
      <c r="D71">
        <v>2019</v>
      </c>
      <c r="E71">
        <v>9.58</v>
      </c>
      <c r="F71">
        <v>8.17</v>
      </c>
      <c r="G71">
        <v>9.92</v>
      </c>
      <c r="H71">
        <v>8.1199999999999992</v>
      </c>
      <c r="I71" t="s">
        <v>102</v>
      </c>
    </row>
    <row r="72" spans="1:9" x14ac:dyDescent="0.25">
      <c r="A72" t="s">
        <v>545</v>
      </c>
      <c r="B72" t="s">
        <v>98</v>
      </c>
      <c r="C72">
        <v>1</v>
      </c>
      <c r="D72">
        <v>2020</v>
      </c>
      <c r="E72">
        <v>15.1</v>
      </c>
      <c r="F72">
        <v>13.53</v>
      </c>
      <c r="G72">
        <v>15.5</v>
      </c>
      <c r="H72">
        <v>13.45</v>
      </c>
      <c r="I72" t="s">
        <v>101</v>
      </c>
    </row>
    <row r="73" spans="1:9" x14ac:dyDescent="0.25">
      <c r="A73" t="s">
        <v>546</v>
      </c>
      <c r="B73" t="s">
        <v>98</v>
      </c>
      <c r="C73">
        <v>1</v>
      </c>
      <c r="D73">
        <v>2021</v>
      </c>
      <c r="E73">
        <v>19.53</v>
      </c>
      <c r="F73">
        <v>20.29</v>
      </c>
      <c r="G73">
        <v>20.85</v>
      </c>
      <c r="H73">
        <v>18.55</v>
      </c>
      <c r="I73" t="s">
        <v>100</v>
      </c>
    </row>
    <row r="74" spans="1:9" x14ac:dyDescent="0.25">
      <c r="A74" t="s">
        <v>547</v>
      </c>
      <c r="B74" t="s">
        <v>98</v>
      </c>
      <c r="C74">
        <v>1</v>
      </c>
      <c r="D74">
        <v>2022</v>
      </c>
      <c r="E74">
        <v>14.62</v>
      </c>
      <c r="F74">
        <v>11.19</v>
      </c>
      <c r="G74">
        <v>14.81</v>
      </c>
      <c r="H74">
        <v>10.58</v>
      </c>
      <c r="I74" t="s">
        <v>99</v>
      </c>
    </row>
    <row r="75" spans="1:9" x14ac:dyDescent="0.25">
      <c r="A75" t="s">
        <v>548</v>
      </c>
      <c r="B75" t="s">
        <v>113</v>
      </c>
      <c r="C75">
        <v>1</v>
      </c>
      <c r="D75">
        <v>2020</v>
      </c>
      <c r="E75">
        <v>31.23</v>
      </c>
      <c r="F75">
        <v>31.77</v>
      </c>
      <c r="G75">
        <v>34.270000000000003</v>
      </c>
      <c r="H75">
        <v>29.96</v>
      </c>
      <c r="I75" t="s">
        <v>116</v>
      </c>
    </row>
    <row r="76" spans="1:9" x14ac:dyDescent="0.25">
      <c r="A76" t="s">
        <v>549</v>
      </c>
      <c r="B76" t="s">
        <v>113</v>
      </c>
      <c r="C76">
        <v>1</v>
      </c>
      <c r="D76">
        <v>2021</v>
      </c>
      <c r="E76">
        <v>49.85</v>
      </c>
      <c r="F76">
        <v>42.11</v>
      </c>
      <c r="G76">
        <v>51.3</v>
      </c>
      <c r="H76">
        <v>41.48</v>
      </c>
      <c r="I76" t="s">
        <v>115</v>
      </c>
    </row>
    <row r="77" spans="1:9" x14ac:dyDescent="0.25">
      <c r="A77" t="s">
        <v>550</v>
      </c>
      <c r="B77" t="s">
        <v>113</v>
      </c>
      <c r="C77">
        <v>1</v>
      </c>
      <c r="D77">
        <v>2022</v>
      </c>
      <c r="E77">
        <v>23.7</v>
      </c>
      <c r="F77">
        <v>23.95</v>
      </c>
      <c r="G77">
        <v>27.52</v>
      </c>
      <c r="H77">
        <v>21.19</v>
      </c>
      <c r="I77" t="s">
        <v>114</v>
      </c>
    </row>
    <row r="78" spans="1:9" x14ac:dyDescent="0.25">
      <c r="A78" t="s">
        <v>551</v>
      </c>
      <c r="B78" t="s">
        <v>117</v>
      </c>
      <c r="C78">
        <v>1</v>
      </c>
      <c r="D78">
        <v>1997</v>
      </c>
      <c r="E78">
        <v>1.49</v>
      </c>
      <c r="F78">
        <v>1.48</v>
      </c>
      <c r="G78">
        <v>1.51</v>
      </c>
      <c r="H78">
        <v>1.4</v>
      </c>
      <c r="I78" t="s">
        <v>15</v>
      </c>
    </row>
    <row r="79" spans="1:9" x14ac:dyDescent="0.25">
      <c r="A79" t="s">
        <v>552</v>
      </c>
      <c r="B79" t="s">
        <v>117</v>
      </c>
      <c r="C79">
        <v>1</v>
      </c>
      <c r="D79">
        <v>1998</v>
      </c>
      <c r="E79">
        <v>1.24</v>
      </c>
      <c r="F79">
        <v>1.19</v>
      </c>
      <c r="G79">
        <v>1.27</v>
      </c>
      <c r="H79">
        <v>1.1000000000000001</v>
      </c>
      <c r="I79" t="s">
        <v>74</v>
      </c>
    </row>
    <row r="80" spans="1:9" x14ac:dyDescent="0.25">
      <c r="A80" t="s">
        <v>553</v>
      </c>
      <c r="B80" t="s">
        <v>117</v>
      </c>
      <c r="C80">
        <v>1</v>
      </c>
      <c r="D80">
        <v>1999</v>
      </c>
      <c r="E80">
        <v>1.01</v>
      </c>
      <c r="F80">
        <v>1.1299999999999999</v>
      </c>
      <c r="G80">
        <v>1.21</v>
      </c>
      <c r="H80">
        <v>0.81</v>
      </c>
      <c r="I80" t="s">
        <v>146</v>
      </c>
    </row>
    <row r="81" spans="1:9" x14ac:dyDescent="0.25">
      <c r="A81" t="s">
        <v>554</v>
      </c>
      <c r="B81" t="s">
        <v>117</v>
      </c>
      <c r="C81">
        <v>1</v>
      </c>
      <c r="D81">
        <v>2000</v>
      </c>
      <c r="E81">
        <v>1.25</v>
      </c>
      <c r="F81">
        <v>1.33</v>
      </c>
      <c r="G81">
        <v>1.36</v>
      </c>
      <c r="H81">
        <v>1.19</v>
      </c>
      <c r="I81" t="s">
        <v>144</v>
      </c>
    </row>
    <row r="82" spans="1:9" x14ac:dyDescent="0.25">
      <c r="A82" t="s">
        <v>555</v>
      </c>
      <c r="B82" t="s">
        <v>117</v>
      </c>
      <c r="C82">
        <v>1</v>
      </c>
      <c r="D82">
        <v>2001</v>
      </c>
      <c r="E82">
        <v>1.26</v>
      </c>
      <c r="F82">
        <v>0.93</v>
      </c>
      <c r="G82">
        <v>1.37</v>
      </c>
      <c r="H82">
        <v>0.93</v>
      </c>
      <c r="I82" t="s">
        <v>142</v>
      </c>
    </row>
    <row r="83" spans="1:9" x14ac:dyDescent="0.25">
      <c r="A83" t="s">
        <v>556</v>
      </c>
      <c r="B83" t="s">
        <v>117</v>
      </c>
      <c r="C83">
        <v>1</v>
      </c>
      <c r="D83">
        <v>2002</v>
      </c>
      <c r="E83">
        <v>1.43</v>
      </c>
      <c r="F83">
        <v>1.68</v>
      </c>
      <c r="G83">
        <v>1.75</v>
      </c>
      <c r="H83">
        <v>1.4</v>
      </c>
      <c r="I83" t="s">
        <v>141</v>
      </c>
    </row>
    <row r="84" spans="1:9" x14ac:dyDescent="0.25">
      <c r="A84" t="s">
        <v>557</v>
      </c>
      <c r="B84" t="s">
        <v>117</v>
      </c>
      <c r="C84">
        <v>1</v>
      </c>
      <c r="D84">
        <v>2003</v>
      </c>
      <c r="E84">
        <v>1.53</v>
      </c>
      <c r="F84">
        <v>1.57</v>
      </c>
      <c r="G84">
        <v>1.72</v>
      </c>
      <c r="H84">
        <v>1.45</v>
      </c>
      <c r="I84" t="s">
        <v>140</v>
      </c>
    </row>
    <row r="85" spans="1:9" x14ac:dyDescent="0.25">
      <c r="A85" t="s">
        <v>558</v>
      </c>
      <c r="B85" t="s">
        <v>117</v>
      </c>
      <c r="C85">
        <v>1</v>
      </c>
      <c r="D85">
        <v>2004</v>
      </c>
      <c r="E85">
        <v>3.24</v>
      </c>
      <c r="F85">
        <v>3.81</v>
      </c>
      <c r="G85">
        <v>4.3099999999999996</v>
      </c>
      <c r="H85">
        <v>3.19</v>
      </c>
      <c r="I85" t="s">
        <v>85</v>
      </c>
    </row>
    <row r="86" spans="1:9" x14ac:dyDescent="0.25">
      <c r="A86" t="s">
        <v>559</v>
      </c>
      <c r="B86" t="s">
        <v>117</v>
      </c>
      <c r="C86">
        <v>1</v>
      </c>
      <c r="D86">
        <v>2005</v>
      </c>
      <c r="E86">
        <v>4.91</v>
      </c>
      <c r="F86">
        <v>5.16</v>
      </c>
      <c r="G86">
        <v>5.31</v>
      </c>
      <c r="H86">
        <v>4.72</v>
      </c>
      <c r="I86" t="s">
        <v>137</v>
      </c>
    </row>
    <row r="87" spans="1:9" x14ac:dyDescent="0.25">
      <c r="A87" t="s">
        <v>560</v>
      </c>
      <c r="B87" t="s">
        <v>117</v>
      </c>
      <c r="C87">
        <v>1</v>
      </c>
      <c r="D87">
        <v>2006</v>
      </c>
      <c r="E87">
        <v>8.5</v>
      </c>
      <c r="F87">
        <v>6.72</v>
      </c>
      <c r="G87">
        <v>9.1999999999999993</v>
      </c>
      <c r="H87">
        <v>6.53</v>
      </c>
      <c r="I87" t="s">
        <v>136</v>
      </c>
    </row>
    <row r="88" spans="1:9" x14ac:dyDescent="0.25">
      <c r="A88" t="s">
        <v>561</v>
      </c>
      <c r="B88" t="s">
        <v>117</v>
      </c>
      <c r="C88">
        <v>1</v>
      </c>
      <c r="D88">
        <v>2007</v>
      </c>
      <c r="E88">
        <v>11.04</v>
      </c>
      <c r="F88">
        <v>10.09</v>
      </c>
      <c r="G88">
        <v>11.12</v>
      </c>
      <c r="H88">
        <v>10.01</v>
      </c>
      <c r="I88" t="s">
        <v>134</v>
      </c>
    </row>
    <row r="89" spans="1:9" x14ac:dyDescent="0.25">
      <c r="A89" t="s">
        <v>562</v>
      </c>
      <c r="B89" t="s">
        <v>117</v>
      </c>
      <c r="C89">
        <v>1</v>
      </c>
      <c r="D89">
        <v>2008</v>
      </c>
      <c r="E89">
        <v>14.11</v>
      </c>
      <c r="F89">
        <v>14.52</v>
      </c>
      <c r="G89">
        <v>15.31</v>
      </c>
      <c r="H89">
        <v>12.73</v>
      </c>
      <c r="I89" t="s">
        <v>132</v>
      </c>
    </row>
    <row r="90" spans="1:9" x14ac:dyDescent="0.25">
      <c r="A90" t="s">
        <v>563</v>
      </c>
      <c r="B90" t="s">
        <v>117</v>
      </c>
      <c r="C90">
        <v>1</v>
      </c>
      <c r="D90">
        <v>2009</v>
      </c>
      <c r="E90">
        <v>7.23</v>
      </c>
      <c r="F90">
        <v>7.47</v>
      </c>
      <c r="G90">
        <v>8.39</v>
      </c>
      <c r="H90">
        <v>6.61</v>
      </c>
      <c r="I90" t="s">
        <v>131</v>
      </c>
    </row>
    <row r="91" spans="1:9" x14ac:dyDescent="0.25">
      <c r="A91" t="s">
        <v>564</v>
      </c>
      <c r="B91" t="s">
        <v>117</v>
      </c>
      <c r="C91">
        <v>1</v>
      </c>
      <c r="D91">
        <v>2010</v>
      </c>
      <c r="E91">
        <v>15.35</v>
      </c>
      <c r="F91">
        <v>16.28</v>
      </c>
      <c r="G91">
        <v>16.63</v>
      </c>
      <c r="H91">
        <v>14.82</v>
      </c>
      <c r="I91" t="s">
        <v>130</v>
      </c>
    </row>
    <row r="92" spans="1:9" x14ac:dyDescent="0.25">
      <c r="A92" t="s">
        <v>565</v>
      </c>
      <c r="B92" t="s">
        <v>117</v>
      </c>
      <c r="C92">
        <v>1</v>
      </c>
      <c r="D92">
        <v>2011</v>
      </c>
      <c r="E92">
        <v>16.16</v>
      </c>
      <c r="F92">
        <v>17.100000000000001</v>
      </c>
      <c r="G92">
        <v>17.45</v>
      </c>
      <c r="H92">
        <v>16.079999999999998</v>
      </c>
      <c r="I92" t="s">
        <v>129</v>
      </c>
    </row>
    <row r="93" spans="1:9" x14ac:dyDescent="0.25">
      <c r="A93" t="s">
        <v>566</v>
      </c>
      <c r="B93" t="s">
        <v>117</v>
      </c>
      <c r="C93">
        <v>1</v>
      </c>
      <c r="D93">
        <v>2012</v>
      </c>
      <c r="E93">
        <v>15.86</v>
      </c>
      <c r="F93">
        <v>13.94</v>
      </c>
      <c r="G93">
        <v>16.03</v>
      </c>
      <c r="H93">
        <v>13.42</v>
      </c>
      <c r="I93" t="s">
        <v>128</v>
      </c>
    </row>
    <row r="94" spans="1:9" x14ac:dyDescent="0.25">
      <c r="A94" t="s">
        <v>567</v>
      </c>
      <c r="B94" t="s">
        <v>117</v>
      </c>
      <c r="C94">
        <v>1</v>
      </c>
      <c r="D94">
        <v>2013</v>
      </c>
      <c r="E94">
        <v>15.23</v>
      </c>
      <c r="F94">
        <v>16.23</v>
      </c>
      <c r="G94">
        <v>16.95</v>
      </c>
      <c r="H94">
        <v>15</v>
      </c>
      <c r="I94" t="s">
        <v>127</v>
      </c>
    </row>
    <row r="95" spans="1:9" x14ac:dyDescent="0.25">
      <c r="A95" t="s">
        <v>568</v>
      </c>
      <c r="B95" t="s">
        <v>117</v>
      </c>
      <c r="C95">
        <v>1</v>
      </c>
      <c r="D95">
        <v>2014</v>
      </c>
      <c r="E95">
        <v>14.35</v>
      </c>
      <c r="F95">
        <v>16.79</v>
      </c>
      <c r="G95">
        <v>16.809999999999999</v>
      </c>
      <c r="H95">
        <v>13.67</v>
      </c>
      <c r="I95" t="s">
        <v>126</v>
      </c>
    </row>
    <row r="96" spans="1:9" x14ac:dyDescent="0.25">
      <c r="A96" t="s">
        <v>569</v>
      </c>
      <c r="B96" t="s">
        <v>117</v>
      </c>
      <c r="C96">
        <v>1</v>
      </c>
      <c r="D96">
        <v>2015</v>
      </c>
      <c r="E96">
        <v>15.18</v>
      </c>
      <c r="F96">
        <v>17.21</v>
      </c>
      <c r="G96">
        <v>17.690000000000001</v>
      </c>
      <c r="H96">
        <v>15.13</v>
      </c>
      <c r="I96" t="s">
        <v>125</v>
      </c>
    </row>
    <row r="97" spans="1:9" x14ac:dyDescent="0.25">
      <c r="A97" t="s">
        <v>570</v>
      </c>
      <c r="B97" t="s">
        <v>117</v>
      </c>
      <c r="C97">
        <v>1</v>
      </c>
      <c r="D97">
        <v>2016</v>
      </c>
      <c r="E97">
        <v>11.24</v>
      </c>
      <c r="F97">
        <v>11.72</v>
      </c>
      <c r="G97">
        <v>11.82</v>
      </c>
      <c r="H97">
        <v>10.16</v>
      </c>
      <c r="I97" t="s">
        <v>124</v>
      </c>
    </row>
    <row r="98" spans="1:9" x14ac:dyDescent="0.25">
      <c r="A98" t="s">
        <v>571</v>
      </c>
      <c r="B98" t="s">
        <v>117</v>
      </c>
      <c r="C98">
        <v>1</v>
      </c>
      <c r="D98">
        <v>2017</v>
      </c>
      <c r="E98">
        <v>26.41</v>
      </c>
      <c r="F98">
        <v>23.68</v>
      </c>
      <c r="G98">
        <v>27.16</v>
      </c>
      <c r="H98">
        <v>23.29</v>
      </c>
      <c r="I98" t="s">
        <v>123</v>
      </c>
    </row>
    <row r="99" spans="1:9" x14ac:dyDescent="0.25">
      <c r="A99" t="s">
        <v>572</v>
      </c>
      <c r="B99" t="s">
        <v>117</v>
      </c>
      <c r="C99">
        <v>1</v>
      </c>
      <c r="D99">
        <v>2018</v>
      </c>
      <c r="E99">
        <v>34.74</v>
      </c>
      <c r="F99">
        <v>28.09</v>
      </c>
      <c r="G99">
        <v>35.11</v>
      </c>
      <c r="H99">
        <v>28.09</v>
      </c>
      <c r="I99" t="s">
        <v>122</v>
      </c>
    </row>
    <row r="100" spans="1:9" x14ac:dyDescent="0.25">
      <c r="A100" t="s">
        <v>573</v>
      </c>
      <c r="B100" t="s">
        <v>117</v>
      </c>
      <c r="C100">
        <v>1</v>
      </c>
      <c r="D100">
        <v>2019</v>
      </c>
      <c r="E100">
        <v>47.35</v>
      </c>
      <c r="F100">
        <v>42.19</v>
      </c>
      <c r="G100">
        <v>48.17</v>
      </c>
      <c r="H100">
        <v>42.09</v>
      </c>
      <c r="I100" t="s">
        <v>121</v>
      </c>
    </row>
    <row r="101" spans="1:9" x14ac:dyDescent="0.25">
      <c r="A101" t="s">
        <v>574</v>
      </c>
      <c r="B101" t="s">
        <v>117</v>
      </c>
      <c r="C101">
        <v>1</v>
      </c>
      <c r="D101">
        <v>2020</v>
      </c>
      <c r="E101">
        <v>46.66</v>
      </c>
      <c r="F101">
        <v>51.29</v>
      </c>
      <c r="G101">
        <v>51.88</v>
      </c>
      <c r="H101">
        <v>46.19</v>
      </c>
      <c r="I101" t="s">
        <v>120</v>
      </c>
    </row>
    <row r="102" spans="1:9" x14ac:dyDescent="0.25">
      <c r="A102" t="s">
        <v>575</v>
      </c>
      <c r="B102" t="s">
        <v>117</v>
      </c>
      <c r="C102">
        <v>1</v>
      </c>
      <c r="D102">
        <v>2021</v>
      </c>
      <c r="E102">
        <v>33.86</v>
      </c>
      <c r="F102">
        <v>39.229999999999997</v>
      </c>
      <c r="G102">
        <v>40.56</v>
      </c>
      <c r="H102">
        <v>32.520000000000003</v>
      </c>
      <c r="I102" t="s">
        <v>119</v>
      </c>
    </row>
    <row r="103" spans="1:9" x14ac:dyDescent="0.25">
      <c r="A103" t="s">
        <v>576</v>
      </c>
      <c r="B103" t="s">
        <v>117</v>
      </c>
      <c r="C103">
        <v>1</v>
      </c>
      <c r="D103">
        <v>2022</v>
      </c>
      <c r="E103">
        <v>32.659999999999997</v>
      </c>
      <c r="F103">
        <v>29.13</v>
      </c>
      <c r="G103">
        <v>32.94</v>
      </c>
      <c r="H103">
        <v>28.2</v>
      </c>
      <c r="I103" t="s">
        <v>118</v>
      </c>
    </row>
    <row r="104" spans="1:9" x14ac:dyDescent="0.25">
      <c r="A104" t="s">
        <v>577</v>
      </c>
      <c r="B104" t="s">
        <v>150</v>
      </c>
      <c r="C104">
        <v>1</v>
      </c>
      <c r="D104">
        <v>1997</v>
      </c>
      <c r="E104">
        <v>0.86</v>
      </c>
      <c r="F104">
        <v>0.8</v>
      </c>
      <c r="G104">
        <v>0.91</v>
      </c>
      <c r="H104">
        <v>0.79</v>
      </c>
      <c r="I104" t="s">
        <v>79</v>
      </c>
    </row>
    <row r="105" spans="1:9" x14ac:dyDescent="0.25">
      <c r="A105" t="s">
        <v>578</v>
      </c>
      <c r="B105" t="s">
        <v>150</v>
      </c>
      <c r="C105">
        <v>1</v>
      </c>
      <c r="D105">
        <v>1998</v>
      </c>
      <c r="E105">
        <v>1.04</v>
      </c>
      <c r="F105">
        <v>1.26</v>
      </c>
      <c r="G105">
        <v>1.3</v>
      </c>
      <c r="H105">
        <v>0.91</v>
      </c>
      <c r="I105" t="s">
        <v>175</v>
      </c>
    </row>
    <row r="106" spans="1:9" x14ac:dyDescent="0.25">
      <c r="A106" t="s">
        <v>579</v>
      </c>
      <c r="B106" t="s">
        <v>150</v>
      </c>
      <c r="C106">
        <v>1</v>
      </c>
      <c r="D106">
        <v>1999</v>
      </c>
      <c r="E106">
        <v>0.87</v>
      </c>
      <c r="F106">
        <v>0.73</v>
      </c>
      <c r="G106">
        <v>0.89</v>
      </c>
      <c r="H106">
        <v>0.7</v>
      </c>
      <c r="I106" t="s">
        <v>174</v>
      </c>
    </row>
    <row r="107" spans="1:9" x14ac:dyDescent="0.25">
      <c r="A107" t="s">
        <v>580</v>
      </c>
      <c r="B107" t="s">
        <v>150</v>
      </c>
      <c r="C107">
        <v>1</v>
      </c>
      <c r="D107">
        <v>2000</v>
      </c>
      <c r="E107">
        <v>1.58</v>
      </c>
      <c r="F107">
        <v>1.61</v>
      </c>
      <c r="G107">
        <v>1.87</v>
      </c>
      <c r="H107">
        <v>1.38</v>
      </c>
      <c r="I107" t="s">
        <v>50</v>
      </c>
    </row>
    <row r="108" spans="1:9" x14ac:dyDescent="0.25">
      <c r="A108" t="s">
        <v>581</v>
      </c>
      <c r="B108" t="s">
        <v>150</v>
      </c>
      <c r="C108">
        <v>1</v>
      </c>
      <c r="D108">
        <v>2001</v>
      </c>
      <c r="E108">
        <v>1.53</v>
      </c>
      <c r="F108">
        <v>1.61</v>
      </c>
      <c r="G108">
        <v>1.75</v>
      </c>
      <c r="H108">
        <v>1.52</v>
      </c>
      <c r="I108" t="s">
        <v>173</v>
      </c>
    </row>
    <row r="109" spans="1:9" x14ac:dyDescent="0.25">
      <c r="A109" t="s">
        <v>582</v>
      </c>
      <c r="B109" t="s">
        <v>150</v>
      </c>
      <c r="C109">
        <v>1</v>
      </c>
      <c r="D109">
        <v>2002</v>
      </c>
      <c r="E109">
        <v>1.42</v>
      </c>
      <c r="F109">
        <v>1.47</v>
      </c>
      <c r="G109">
        <v>1.49</v>
      </c>
      <c r="H109">
        <v>1.37</v>
      </c>
      <c r="I109" t="s">
        <v>172</v>
      </c>
    </row>
    <row r="110" spans="1:9" x14ac:dyDescent="0.25">
      <c r="A110" t="s">
        <v>583</v>
      </c>
      <c r="B110" t="s">
        <v>150</v>
      </c>
      <c r="C110">
        <v>1</v>
      </c>
      <c r="D110">
        <v>2003</v>
      </c>
      <c r="E110">
        <v>1.19</v>
      </c>
      <c r="F110">
        <v>1.41</v>
      </c>
      <c r="G110">
        <v>1.45</v>
      </c>
      <c r="H110">
        <v>1.1599999999999999</v>
      </c>
      <c r="I110" t="s">
        <v>145</v>
      </c>
    </row>
    <row r="111" spans="1:9" x14ac:dyDescent="0.25">
      <c r="A111" t="s">
        <v>584</v>
      </c>
      <c r="B111" t="s">
        <v>150</v>
      </c>
      <c r="C111">
        <v>1</v>
      </c>
      <c r="D111">
        <v>2004</v>
      </c>
      <c r="E111">
        <v>1.75</v>
      </c>
      <c r="F111">
        <v>1.87</v>
      </c>
      <c r="G111">
        <v>1.99</v>
      </c>
      <c r="H111">
        <v>1.75</v>
      </c>
      <c r="I111" t="s">
        <v>171</v>
      </c>
    </row>
    <row r="112" spans="1:9" x14ac:dyDescent="0.25">
      <c r="A112" t="s">
        <v>585</v>
      </c>
      <c r="B112" t="s">
        <v>150</v>
      </c>
      <c r="C112">
        <v>1</v>
      </c>
      <c r="D112">
        <v>2005</v>
      </c>
      <c r="E112">
        <v>2.2799999999999998</v>
      </c>
      <c r="F112">
        <v>2.39</v>
      </c>
      <c r="G112">
        <v>2.41</v>
      </c>
      <c r="H112">
        <v>2.0499999999999998</v>
      </c>
      <c r="I112" t="s">
        <v>170</v>
      </c>
    </row>
    <row r="113" spans="1:9" x14ac:dyDescent="0.25">
      <c r="A113" t="s">
        <v>586</v>
      </c>
      <c r="B113" t="s">
        <v>150</v>
      </c>
      <c r="C113">
        <v>1</v>
      </c>
      <c r="D113">
        <v>2006</v>
      </c>
      <c r="E113">
        <v>6.91</v>
      </c>
      <c r="F113">
        <v>5.45</v>
      </c>
      <c r="G113">
        <v>6.93</v>
      </c>
      <c r="H113">
        <v>5.28</v>
      </c>
      <c r="I113" t="s">
        <v>167</v>
      </c>
    </row>
    <row r="114" spans="1:9" x14ac:dyDescent="0.25">
      <c r="A114" t="s">
        <v>587</v>
      </c>
      <c r="B114" t="s">
        <v>150</v>
      </c>
      <c r="C114">
        <v>1</v>
      </c>
      <c r="D114">
        <v>2007</v>
      </c>
      <c r="E114">
        <v>7.19</v>
      </c>
      <c r="F114">
        <v>7.01</v>
      </c>
      <c r="G114">
        <v>7.44</v>
      </c>
      <c r="H114">
        <v>6.67</v>
      </c>
      <c r="I114" t="s">
        <v>166</v>
      </c>
    </row>
    <row r="115" spans="1:9" x14ac:dyDescent="0.25">
      <c r="A115" t="s">
        <v>588</v>
      </c>
      <c r="B115" t="s">
        <v>150</v>
      </c>
      <c r="C115">
        <v>1</v>
      </c>
      <c r="D115">
        <v>2008</v>
      </c>
      <c r="E115">
        <v>7.47</v>
      </c>
      <c r="F115">
        <v>8.84</v>
      </c>
      <c r="G115">
        <v>8.91</v>
      </c>
      <c r="H115">
        <v>6.95</v>
      </c>
      <c r="I115" t="s">
        <v>164</v>
      </c>
    </row>
    <row r="116" spans="1:9" x14ac:dyDescent="0.25">
      <c r="A116" t="s">
        <v>589</v>
      </c>
      <c r="B116" t="s">
        <v>150</v>
      </c>
      <c r="C116">
        <v>1</v>
      </c>
      <c r="D116">
        <v>2009</v>
      </c>
      <c r="E116">
        <v>4.93</v>
      </c>
      <c r="F116">
        <v>5.42</v>
      </c>
      <c r="G116">
        <v>5.84</v>
      </c>
      <c r="H116">
        <v>4.72</v>
      </c>
      <c r="I116" t="s">
        <v>163</v>
      </c>
    </row>
    <row r="117" spans="1:9" x14ac:dyDescent="0.25">
      <c r="A117" t="s">
        <v>590</v>
      </c>
      <c r="B117" t="s">
        <v>150</v>
      </c>
      <c r="C117">
        <v>1</v>
      </c>
      <c r="D117">
        <v>2010</v>
      </c>
      <c r="E117">
        <v>7.89</v>
      </c>
      <c r="F117">
        <v>8.3699999999999992</v>
      </c>
      <c r="G117">
        <v>8.66</v>
      </c>
      <c r="H117">
        <v>7.83</v>
      </c>
      <c r="I117" t="s">
        <v>162</v>
      </c>
    </row>
    <row r="118" spans="1:9" x14ac:dyDescent="0.25">
      <c r="A118" t="s">
        <v>591</v>
      </c>
      <c r="B118" t="s">
        <v>150</v>
      </c>
      <c r="C118">
        <v>1</v>
      </c>
      <c r="D118">
        <v>2011</v>
      </c>
      <c r="E118">
        <v>7.19</v>
      </c>
      <c r="F118">
        <v>7.57</v>
      </c>
      <c r="G118">
        <v>7.77</v>
      </c>
      <c r="H118">
        <v>7.1</v>
      </c>
      <c r="I118" t="s">
        <v>161</v>
      </c>
    </row>
    <row r="119" spans="1:9" x14ac:dyDescent="0.25">
      <c r="A119" t="s">
        <v>592</v>
      </c>
      <c r="B119" t="s">
        <v>150</v>
      </c>
      <c r="C119">
        <v>1</v>
      </c>
      <c r="D119">
        <v>2012</v>
      </c>
      <c r="E119">
        <v>7.95</v>
      </c>
      <c r="F119">
        <v>7.72</v>
      </c>
      <c r="G119">
        <v>8.2899999999999991</v>
      </c>
      <c r="H119">
        <v>7.53</v>
      </c>
      <c r="I119" t="s">
        <v>160</v>
      </c>
    </row>
    <row r="120" spans="1:9" x14ac:dyDescent="0.25">
      <c r="A120" t="s">
        <v>593</v>
      </c>
      <c r="B120" t="s">
        <v>150</v>
      </c>
      <c r="C120">
        <v>1</v>
      </c>
      <c r="D120">
        <v>2013</v>
      </c>
      <c r="E120">
        <v>11.18</v>
      </c>
      <c r="F120">
        <v>10.83</v>
      </c>
      <c r="G120">
        <v>11.76</v>
      </c>
      <c r="H120">
        <v>10.72</v>
      </c>
      <c r="I120" t="s">
        <v>159</v>
      </c>
    </row>
    <row r="121" spans="1:9" x14ac:dyDescent="0.25">
      <c r="A121" t="s">
        <v>594</v>
      </c>
      <c r="B121" t="s">
        <v>150</v>
      </c>
      <c r="C121">
        <v>1</v>
      </c>
      <c r="D121">
        <v>2014</v>
      </c>
      <c r="E121">
        <v>10.23</v>
      </c>
      <c r="F121">
        <v>11.31</v>
      </c>
      <c r="G121">
        <v>11.43</v>
      </c>
      <c r="H121">
        <v>9.94</v>
      </c>
      <c r="I121" t="s">
        <v>158</v>
      </c>
    </row>
    <row r="122" spans="1:9" x14ac:dyDescent="0.25">
      <c r="A122" t="s">
        <v>595</v>
      </c>
      <c r="B122" t="s">
        <v>150</v>
      </c>
      <c r="C122">
        <v>1</v>
      </c>
      <c r="D122">
        <v>2015</v>
      </c>
      <c r="E122">
        <v>12.38</v>
      </c>
      <c r="F122">
        <v>12.43</v>
      </c>
      <c r="G122">
        <v>13.56</v>
      </c>
      <c r="H122">
        <v>12.15</v>
      </c>
      <c r="I122" t="s">
        <v>157</v>
      </c>
    </row>
    <row r="123" spans="1:9" x14ac:dyDescent="0.25">
      <c r="A123" t="s">
        <v>596</v>
      </c>
      <c r="B123" t="s">
        <v>150</v>
      </c>
      <c r="C123">
        <v>1</v>
      </c>
      <c r="D123">
        <v>2016</v>
      </c>
      <c r="E123">
        <v>9.15</v>
      </c>
      <c r="F123">
        <v>9.43</v>
      </c>
      <c r="G123">
        <v>9.56</v>
      </c>
      <c r="H123">
        <v>8.36</v>
      </c>
      <c r="I123" t="s">
        <v>133</v>
      </c>
    </row>
    <row r="124" spans="1:9" x14ac:dyDescent="0.25">
      <c r="A124" t="s">
        <v>597</v>
      </c>
      <c r="B124" t="s">
        <v>150</v>
      </c>
      <c r="C124">
        <v>1</v>
      </c>
      <c r="D124">
        <v>2017</v>
      </c>
      <c r="E124">
        <v>17.260000000000002</v>
      </c>
      <c r="F124">
        <v>15.47</v>
      </c>
      <c r="G124">
        <v>17.73</v>
      </c>
      <c r="H124">
        <v>15.37</v>
      </c>
      <c r="I124" t="s">
        <v>156</v>
      </c>
    </row>
    <row r="125" spans="1:9" x14ac:dyDescent="0.25">
      <c r="A125" t="s">
        <v>598</v>
      </c>
      <c r="B125" t="s">
        <v>150</v>
      </c>
      <c r="C125">
        <v>1</v>
      </c>
      <c r="D125">
        <v>2018</v>
      </c>
      <c r="E125">
        <v>24.1</v>
      </c>
      <c r="F125">
        <v>19.77</v>
      </c>
      <c r="G125">
        <v>24.8</v>
      </c>
      <c r="H125">
        <v>19.62</v>
      </c>
      <c r="I125" t="s">
        <v>155</v>
      </c>
    </row>
    <row r="126" spans="1:9" x14ac:dyDescent="0.25">
      <c r="A126" t="s">
        <v>599</v>
      </c>
      <c r="B126" t="s">
        <v>150</v>
      </c>
      <c r="C126">
        <v>1</v>
      </c>
      <c r="D126">
        <v>2019</v>
      </c>
      <c r="E126">
        <v>28.07</v>
      </c>
      <c r="F126">
        <v>23.68</v>
      </c>
      <c r="G126">
        <v>28.72</v>
      </c>
      <c r="H126">
        <v>23.38</v>
      </c>
      <c r="I126" t="s">
        <v>154</v>
      </c>
    </row>
    <row r="127" spans="1:9" x14ac:dyDescent="0.25">
      <c r="A127" t="s">
        <v>600</v>
      </c>
      <c r="B127" t="s">
        <v>150</v>
      </c>
      <c r="C127">
        <v>1</v>
      </c>
      <c r="D127">
        <v>2020</v>
      </c>
      <c r="E127">
        <v>27.74</v>
      </c>
      <c r="F127">
        <v>30.37</v>
      </c>
      <c r="G127">
        <v>31.58</v>
      </c>
      <c r="H127">
        <v>27.3</v>
      </c>
      <c r="I127" t="s">
        <v>153</v>
      </c>
    </row>
    <row r="128" spans="1:9" x14ac:dyDescent="0.25">
      <c r="A128" t="s">
        <v>601</v>
      </c>
      <c r="B128" t="s">
        <v>150</v>
      </c>
      <c r="C128">
        <v>1</v>
      </c>
      <c r="D128">
        <v>2021</v>
      </c>
      <c r="E128">
        <v>21.64</v>
      </c>
      <c r="F128">
        <v>24.48</v>
      </c>
      <c r="G128">
        <v>25.15</v>
      </c>
      <c r="H128">
        <v>21.16</v>
      </c>
      <c r="I128" t="s">
        <v>152</v>
      </c>
    </row>
    <row r="129" spans="1:9" x14ac:dyDescent="0.25">
      <c r="A129" t="s">
        <v>602</v>
      </c>
      <c r="B129" t="s">
        <v>150</v>
      </c>
      <c r="C129">
        <v>1</v>
      </c>
      <c r="D129">
        <v>2022</v>
      </c>
      <c r="E129">
        <v>18.8</v>
      </c>
      <c r="F129">
        <v>16.260000000000002</v>
      </c>
      <c r="G129">
        <v>18.95</v>
      </c>
      <c r="H129">
        <v>16.260000000000002</v>
      </c>
      <c r="I129" t="s">
        <v>151</v>
      </c>
    </row>
    <row r="130" spans="1:9" x14ac:dyDescent="0.25">
      <c r="A130" t="s">
        <v>603</v>
      </c>
      <c r="B130" t="s">
        <v>178</v>
      </c>
      <c r="C130">
        <v>1</v>
      </c>
      <c r="D130">
        <v>2020</v>
      </c>
      <c r="E130">
        <v>46.02</v>
      </c>
      <c r="F130">
        <v>47.42</v>
      </c>
      <c r="G130">
        <v>49.86</v>
      </c>
      <c r="H130">
        <v>46.02</v>
      </c>
      <c r="I130" t="s">
        <v>180</v>
      </c>
    </row>
    <row r="131" spans="1:9" x14ac:dyDescent="0.25">
      <c r="A131" t="s">
        <v>604</v>
      </c>
      <c r="B131" t="s">
        <v>178</v>
      </c>
      <c r="C131">
        <v>1</v>
      </c>
      <c r="D131">
        <v>2021</v>
      </c>
      <c r="E131">
        <v>60.69</v>
      </c>
      <c r="F131">
        <v>65.3</v>
      </c>
      <c r="G131">
        <v>74.5</v>
      </c>
      <c r="H131">
        <v>57.65</v>
      </c>
      <c r="I131" t="s">
        <v>179</v>
      </c>
    </row>
    <row r="132" spans="1:9" x14ac:dyDescent="0.25">
      <c r="A132" t="s">
        <v>605</v>
      </c>
      <c r="B132" t="s">
        <v>178</v>
      </c>
      <c r="C132">
        <v>1</v>
      </c>
      <c r="D132">
        <v>2022</v>
      </c>
      <c r="E132">
        <v>74.650000000000006</v>
      </c>
      <c r="F132">
        <v>76.5</v>
      </c>
      <c r="G132">
        <v>81.55</v>
      </c>
      <c r="H132">
        <v>69.98</v>
      </c>
      <c r="I132" t="s">
        <v>147</v>
      </c>
    </row>
    <row r="133" spans="1:9" x14ac:dyDescent="0.25">
      <c r="A133" t="s">
        <v>606</v>
      </c>
      <c r="B133" t="s">
        <v>183</v>
      </c>
      <c r="C133">
        <v>1</v>
      </c>
      <c r="D133">
        <v>2012</v>
      </c>
      <c r="E133">
        <v>4.08</v>
      </c>
      <c r="F133">
        <v>4.08</v>
      </c>
      <c r="G133">
        <v>4.08</v>
      </c>
      <c r="H133">
        <v>4.08</v>
      </c>
      <c r="I133" t="s">
        <v>194</v>
      </c>
    </row>
    <row r="134" spans="1:9" x14ac:dyDescent="0.25">
      <c r="A134" t="s">
        <v>607</v>
      </c>
      <c r="B134" t="s">
        <v>183</v>
      </c>
      <c r="C134">
        <v>1</v>
      </c>
      <c r="D134">
        <v>2013</v>
      </c>
      <c r="E134">
        <v>6.69</v>
      </c>
      <c r="F134">
        <v>6.25</v>
      </c>
      <c r="G134">
        <v>6.76</v>
      </c>
      <c r="H134">
        <v>6.25</v>
      </c>
      <c r="I134" t="s">
        <v>193</v>
      </c>
    </row>
    <row r="135" spans="1:9" x14ac:dyDescent="0.25">
      <c r="A135" t="s">
        <v>608</v>
      </c>
      <c r="B135" t="s">
        <v>183</v>
      </c>
      <c r="C135">
        <v>1</v>
      </c>
      <c r="D135">
        <v>2014</v>
      </c>
      <c r="E135">
        <v>10.81</v>
      </c>
      <c r="F135">
        <v>11.2</v>
      </c>
      <c r="G135">
        <v>11.28</v>
      </c>
      <c r="H135">
        <v>10.74</v>
      </c>
      <c r="I135" t="s">
        <v>192</v>
      </c>
    </row>
    <row r="136" spans="1:9" x14ac:dyDescent="0.25">
      <c r="A136" t="s">
        <v>609</v>
      </c>
      <c r="B136" t="s">
        <v>183</v>
      </c>
      <c r="C136">
        <v>1</v>
      </c>
      <c r="D136">
        <v>2015</v>
      </c>
      <c r="E136">
        <v>15.59</v>
      </c>
      <c r="F136">
        <v>15.95</v>
      </c>
      <c r="G136">
        <v>16.04</v>
      </c>
      <c r="H136">
        <v>14.98</v>
      </c>
      <c r="I136" t="s">
        <v>190</v>
      </c>
    </row>
    <row r="137" spans="1:9" x14ac:dyDescent="0.25">
      <c r="A137" t="s">
        <v>610</v>
      </c>
      <c r="B137" t="s">
        <v>183</v>
      </c>
      <c r="C137">
        <v>1</v>
      </c>
      <c r="D137">
        <v>2016</v>
      </c>
      <c r="E137">
        <v>24.03</v>
      </c>
      <c r="F137">
        <v>26.23</v>
      </c>
      <c r="G137">
        <v>26.29</v>
      </c>
      <c r="H137">
        <v>23.53</v>
      </c>
      <c r="I137" t="s">
        <v>189</v>
      </c>
    </row>
    <row r="138" spans="1:9" x14ac:dyDescent="0.25">
      <c r="A138" t="s">
        <v>611</v>
      </c>
      <c r="B138" t="s">
        <v>183</v>
      </c>
      <c r="C138">
        <v>1</v>
      </c>
      <c r="D138">
        <v>2017</v>
      </c>
      <c r="E138">
        <v>22.23</v>
      </c>
      <c r="F138">
        <v>22</v>
      </c>
      <c r="G138">
        <v>22.46</v>
      </c>
      <c r="H138">
        <v>21.71</v>
      </c>
      <c r="I138" t="s">
        <v>27</v>
      </c>
    </row>
    <row r="139" spans="1:9" x14ac:dyDescent="0.25">
      <c r="A139" t="s">
        <v>612</v>
      </c>
      <c r="B139" t="s">
        <v>183</v>
      </c>
      <c r="C139">
        <v>1</v>
      </c>
      <c r="D139">
        <v>2018</v>
      </c>
      <c r="E139">
        <v>22.65</v>
      </c>
      <c r="F139">
        <v>23.54</v>
      </c>
      <c r="G139">
        <v>23.74</v>
      </c>
      <c r="H139">
        <v>22.63</v>
      </c>
      <c r="I139" t="s">
        <v>188</v>
      </c>
    </row>
    <row r="140" spans="1:9" x14ac:dyDescent="0.25">
      <c r="A140" t="s">
        <v>613</v>
      </c>
      <c r="B140" t="s">
        <v>183</v>
      </c>
      <c r="C140">
        <v>1</v>
      </c>
      <c r="D140">
        <v>2019</v>
      </c>
      <c r="E140">
        <v>26.76</v>
      </c>
      <c r="F140">
        <v>27.22</v>
      </c>
      <c r="G140">
        <v>27.99</v>
      </c>
      <c r="H140">
        <v>26.67</v>
      </c>
      <c r="I140" t="s">
        <v>187</v>
      </c>
    </row>
    <row r="141" spans="1:9" x14ac:dyDescent="0.25">
      <c r="A141" t="s">
        <v>614</v>
      </c>
      <c r="B141" t="s">
        <v>183</v>
      </c>
      <c r="C141">
        <v>1</v>
      </c>
      <c r="D141">
        <v>2020</v>
      </c>
      <c r="E141">
        <v>39.28</v>
      </c>
      <c r="F141">
        <v>39.549999999999997</v>
      </c>
      <c r="G141">
        <v>40.68</v>
      </c>
      <c r="H141">
        <v>38.04</v>
      </c>
      <c r="I141" t="s">
        <v>184</v>
      </c>
    </row>
    <row r="142" spans="1:9" x14ac:dyDescent="0.25">
      <c r="A142" t="s">
        <v>615</v>
      </c>
      <c r="B142" t="s">
        <v>183</v>
      </c>
      <c r="C142">
        <v>1</v>
      </c>
      <c r="D142">
        <v>2021</v>
      </c>
      <c r="E142">
        <v>61.99</v>
      </c>
      <c r="F142">
        <v>62</v>
      </c>
      <c r="G142">
        <v>66.67</v>
      </c>
      <c r="H142">
        <v>57.3</v>
      </c>
      <c r="I142" t="s">
        <v>24</v>
      </c>
    </row>
    <row r="143" spans="1:9" x14ac:dyDescent="0.25">
      <c r="A143" t="s">
        <v>616</v>
      </c>
      <c r="B143" t="s">
        <v>183</v>
      </c>
      <c r="C143">
        <v>1</v>
      </c>
      <c r="D143">
        <v>2022</v>
      </c>
      <c r="E143">
        <v>50.53</v>
      </c>
      <c r="F143">
        <v>57.9</v>
      </c>
      <c r="G143">
        <v>60.72</v>
      </c>
      <c r="H143">
        <v>47.57</v>
      </c>
      <c r="I143" t="s">
        <v>11</v>
      </c>
    </row>
    <row r="144" spans="1:9" x14ac:dyDescent="0.25">
      <c r="A144" t="s">
        <v>617</v>
      </c>
      <c r="B144" t="s">
        <v>195</v>
      </c>
      <c r="C144">
        <v>1</v>
      </c>
      <c r="D144">
        <v>2006</v>
      </c>
      <c r="E144">
        <v>6.49</v>
      </c>
      <c r="F144">
        <v>6.19</v>
      </c>
      <c r="G144">
        <v>6.71</v>
      </c>
      <c r="H144">
        <v>6.03</v>
      </c>
      <c r="I144" t="s">
        <v>212</v>
      </c>
    </row>
    <row r="145" spans="1:9" x14ac:dyDescent="0.25">
      <c r="A145" t="s">
        <v>618</v>
      </c>
      <c r="B145" t="s">
        <v>195</v>
      </c>
      <c r="C145">
        <v>1</v>
      </c>
      <c r="D145">
        <v>2007</v>
      </c>
      <c r="E145">
        <v>7.59</v>
      </c>
      <c r="F145">
        <v>7.36</v>
      </c>
      <c r="G145">
        <v>7.86</v>
      </c>
      <c r="H145">
        <v>6.99</v>
      </c>
      <c r="I145" t="s">
        <v>139</v>
      </c>
    </row>
    <row r="146" spans="1:9" x14ac:dyDescent="0.25">
      <c r="A146" t="s">
        <v>619</v>
      </c>
      <c r="B146" t="s">
        <v>195</v>
      </c>
      <c r="C146">
        <v>1</v>
      </c>
      <c r="D146">
        <v>2008</v>
      </c>
      <c r="E146">
        <v>8.3699999999999992</v>
      </c>
      <c r="F146">
        <v>8.91</v>
      </c>
      <c r="G146">
        <v>9.5399999999999991</v>
      </c>
      <c r="H146">
        <v>7.78</v>
      </c>
      <c r="I146" t="s">
        <v>211</v>
      </c>
    </row>
    <row r="147" spans="1:9" x14ac:dyDescent="0.25">
      <c r="A147" t="s">
        <v>620</v>
      </c>
      <c r="B147" t="s">
        <v>195</v>
      </c>
      <c r="C147">
        <v>1</v>
      </c>
      <c r="D147">
        <v>2009</v>
      </c>
      <c r="E147">
        <v>8.1999999999999993</v>
      </c>
      <c r="F147">
        <v>8.44</v>
      </c>
      <c r="G147">
        <v>8.91</v>
      </c>
      <c r="H147">
        <v>8.14</v>
      </c>
      <c r="I147" t="s">
        <v>209</v>
      </c>
    </row>
    <row r="148" spans="1:9" x14ac:dyDescent="0.25">
      <c r="A148" t="s">
        <v>621</v>
      </c>
      <c r="B148" t="s">
        <v>195</v>
      </c>
      <c r="C148">
        <v>1</v>
      </c>
      <c r="D148">
        <v>2010</v>
      </c>
      <c r="E148">
        <v>9.64</v>
      </c>
      <c r="F148">
        <v>10.24</v>
      </c>
      <c r="G148">
        <v>10.41</v>
      </c>
      <c r="H148">
        <v>9.5500000000000007</v>
      </c>
      <c r="I148" t="s">
        <v>208</v>
      </c>
    </row>
    <row r="149" spans="1:9" x14ac:dyDescent="0.25">
      <c r="A149" t="s">
        <v>622</v>
      </c>
      <c r="B149" t="s">
        <v>195</v>
      </c>
      <c r="C149">
        <v>1</v>
      </c>
      <c r="D149">
        <v>2011</v>
      </c>
      <c r="E149">
        <v>11.86</v>
      </c>
      <c r="F149">
        <v>12.67</v>
      </c>
      <c r="G149">
        <v>12.82</v>
      </c>
      <c r="H149">
        <v>11.77</v>
      </c>
      <c r="I149" t="s">
        <v>207</v>
      </c>
    </row>
    <row r="150" spans="1:9" x14ac:dyDescent="0.25">
      <c r="A150" t="s">
        <v>623</v>
      </c>
      <c r="B150" t="s">
        <v>195</v>
      </c>
      <c r="C150">
        <v>1</v>
      </c>
      <c r="D150">
        <v>2012</v>
      </c>
      <c r="E150">
        <v>14.85</v>
      </c>
      <c r="F150">
        <v>14.69</v>
      </c>
      <c r="G150">
        <v>15.61</v>
      </c>
      <c r="H150">
        <v>14.37</v>
      </c>
      <c r="I150" t="s">
        <v>206</v>
      </c>
    </row>
    <row r="151" spans="1:9" x14ac:dyDescent="0.25">
      <c r="A151" t="s">
        <v>624</v>
      </c>
      <c r="B151" t="s">
        <v>195</v>
      </c>
      <c r="C151">
        <v>1</v>
      </c>
      <c r="D151">
        <v>2013</v>
      </c>
      <c r="E151">
        <v>18.510000000000002</v>
      </c>
      <c r="F151">
        <v>17.53</v>
      </c>
      <c r="G151">
        <v>19.38</v>
      </c>
      <c r="H151">
        <v>16.48</v>
      </c>
      <c r="I151" t="s">
        <v>168</v>
      </c>
    </row>
    <row r="152" spans="1:9" x14ac:dyDescent="0.25">
      <c r="A152" t="s">
        <v>625</v>
      </c>
      <c r="B152" t="s">
        <v>195</v>
      </c>
      <c r="C152">
        <v>1</v>
      </c>
      <c r="D152">
        <v>2014</v>
      </c>
      <c r="E152">
        <v>19.34</v>
      </c>
      <c r="F152">
        <v>20.16</v>
      </c>
      <c r="G152">
        <v>21.58</v>
      </c>
      <c r="H152">
        <v>18.8</v>
      </c>
      <c r="I152" t="s">
        <v>203</v>
      </c>
    </row>
    <row r="153" spans="1:9" x14ac:dyDescent="0.25">
      <c r="A153" t="s">
        <v>626</v>
      </c>
      <c r="B153" t="s">
        <v>195</v>
      </c>
      <c r="C153">
        <v>1</v>
      </c>
      <c r="D153">
        <v>2015</v>
      </c>
      <c r="E153">
        <v>18.3</v>
      </c>
      <c r="F153">
        <v>19.690000000000001</v>
      </c>
      <c r="G153">
        <v>20.34</v>
      </c>
      <c r="H153">
        <v>17.78</v>
      </c>
      <c r="I153" t="s">
        <v>169</v>
      </c>
    </row>
    <row r="154" spans="1:9" x14ac:dyDescent="0.25">
      <c r="A154" t="s">
        <v>627</v>
      </c>
      <c r="B154" t="s">
        <v>195</v>
      </c>
      <c r="C154">
        <v>1</v>
      </c>
      <c r="D154">
        <v>2016</v>
      </c>
      <c r="E154">
        <v>20.58</v>
      </c>
      <c r="F154">
        <v>20.239999999999998</v>
      </c>
      <c r="G154">
        <v>20.58</v>
      </c>
      <c r="H154">
        <v>17.899999999999999</v>
      </c>
      <c r="I154" t="s">
        <v>202</v>
      </c>
    </row>
    <row r="155" spans="1:9" x14ac:dyDescent="0.25">
      <c r="A155" t="s">
        <v>628</v>
      </c>
      <c r="B155" t="s">
        <v>195</v>
      </c>
      <c r="C155">
        <v>1</v>
      </c>
      <c r="D155">
        <v>2017</v>
      </c>
      <c r="E155">
        <v>22.89</v>
      </c>
      <c r="F155">
        <v>22.39</v>
      </c>
      <c r="G155">
        <v>23.45</v>
      </c>
      <c r="H155">
        <v>22</v>
      </c>
      <c r="I155" t="s">
        <v>135</v>
      </c>
    </row>
    <row r="156" spans="1:9" x14ac:dyDescent="0.25">
      <c r="A156" t="s">
        <v>629</v>
      </c>
      <c r="B156" t="s">
        <v>195</v>
      </c>
      <c r="C156">
        <v>1</v>
      </c>
      <c r="D156">
        <v>2018</v>
      </c>
      <c r="E156">
        <v>23.83</v>
      </c>
      <c r="F156">
        <v>23.73</v>
      </c>
      <c r="G156">
        <v>24.7</v>
      </c>
      <c r="H156">
        <v>23.04</v>
      </c>
      <c r="I156" t="s">
        <v>201</v>
      </c>
    </row>
    <row r="157" spans="1:9" x14ac:dyDescent="0.25">
      <c r="A157" t="s">
        <v>630</v>
      </c>
      <c r="B157" t="s">
        <v>195</v>
      </c>
      <c r="C157">
        <v>1</v>
      </c>
      <c r="D157">
        <v>2019</v>
      </c>
      <c r="E157">
        <v>38.880000000000003</v>
      </c>
      <c r="F157">
        <v>30.98</v>
      </c>
      <c r="G157">
        <v>40.950000000000003</v>
      </c>
      <c r="H157">
        <v>30.92</v>
      </c>
      <c r="I157" t="s">
        <v>200</v>
      </c>
    </row>
    <row r="158" spans="1:9" x14ac:dyDescent="0.25">
      <c r="A158" t="s">
        <v>631</v>
      </c>
      <c r="B158" t="s">
        <v>195</v>
      </c>
      <c r="C158">
        <v>1</v>
      </c>
      <c r="D158">
        <v>2020</v>
      </c>
      <c r="E158">
        <v>50.1</v>
      </c>
      <c r="F158">
        <v>49.09</v>
      </c>
      <c r="G158">
        <v>52.29</v>
      </c>
      <c r="H158">
        <v>48.71</v>
      </c>
      <c r="I158" t="s">
        <v>199</v>
      </c>
    </row>
    <row r="159" spans="1:9" x14ac:dyDescent="0.25">
      <c r="A159" t="s">
        <v>632</v>
      </c>
      <c r="B159" t="s">
        <v>195</v>
      </c>
      <c r="C159">
        <v>1</v>
      </c>
      <c r="D159">
        <v>2021</v>
      </c>
      <c r="E159">
        <v>42.96</v>
      </c>
      <c r="F159">
        <v>43.9</v>
      </c>
      <c r="G159">
        <v>45.68</v>
      </c>
      <c r="H159">
        <v>42.35</v>
      </c>
      <c r="I159" t="s">
        <v>198</v>
      </c>
    </row>
    <row r="160" spans="1:9" x14ac:dyDescent="0.25">
      <c r="A160" t="s">
        <v>633</v>
      </c>
      <c r="B160" t="s">
        <v>195</v>
      </c>
      <c r="C160">
        <v>1</v>
      </c>
      <c r="D160">
        <v>2022</v>
      </c>
      <c r="E160">
        <v>40.700000000000003</v>
      </c>
      <c r="F160">
        <v>38.5</v>
      </c>
      <c r="G160">
        <v>40.909999999999997</v>
      </c>
      <c r="H160">
        <v>37.08</v>
      </c>
      <c r="I160" t="s">
        <v>196</v>
      </c>
    </row>
    <row r="161" spans="1:9" x14ac:dyDescent="0.25">
      <c r="A161" t="s">
        <v>634</v>
      </c>
      <c r="B161" t="s">
        <v>214</v>
      </c>
      <c r="C161">
        <v>1</v>
      </c>
      <c r="D161">
        <v>2010</v>
      </c>
      <c r="E161">
        <v>7.14</v>
      </c>
      <c r="F161">
        <v>6.6</v>
      </c>
      <c r="G161">
        <v>7.51</v>
      </c>
      <c r="H161">
        <v>6.54</v>
      </c>
      <c r="I161" t="s">
        <v>90</v>
      </c>
    </row>
    <row r="162" spans="1:9" x14ac:dyDescent="0.25">
      <c r="A162" t="s">
        <v>635</v>
      </c>
      <c r="B162" t="s">
        <v>214</v>
      </c>
      <c r="C162">
        <v>1</v>
      </c>
      <c r="D162">
        <v>2011</v>
      </c>
      <c r="E162">
        <v>8.9</v>
      </c>
      <c r="F162">
        <v>9.49</v>
      </c>
      <c r="G162">
        <v>10.039999999999999</v>
      </c>
      <c r="H162">
        <v>8.7200000000000006</v>
      </c>
      <c r="I162" t="s">
        <v>227</v>
      </c>
    </row>
    <row r="163" spans="1:9" x14ac:dyDescent="0.25">
      <c r="A163" t="s">
        <v>636</v>
      </c>
      <c r="B163" t="s">
        <v>214</v>
      </c>
      <c r="C163">
        <v>1</v>
      </c>
      <c r="D163">
        <v>2012</v>
      </c>
      <c r="E163">
        <v>8.2200000000000006</v>
      </c>
      <c r="F163">
        <v>7.83</v>
      </c>
      <c r="G163">
        <v>8.27</v>
      </c>
      <c r="H163">
        <v>7.67</v>
      </c>
      <c r="I163" t="s">
        <v>226</v>
      </c>
    </row>
    <row r="164" spans="1:9" x14ac:dyDescent="0.25">
      <c r="A164" t="s">
        <v>637</v>
      </c>
      <c r="B164" t="s">
        <v>214</v>
      </c>
      <c r="C164">
        <v>1</v>
      </c>
      <c r="D164">
        <v>2013</v>
      </c>
      <c r="E164">
        <v>8.08</v>
      </c>
      <c r="F164">
        <v>8.36</v>
      </c>
      <c r="G164">
        <v>8.36</v>
      </c>
      <c r="H164">
        <v>7.96</v>
      </c>
      <c r="I164" t="s">
        <v>225</v>
      </c>
    </row>
    <row r="165" spans="1:9" x14ac:dyDescent="0.25">
      <c r="A165" t="s">
        <v>638</v>
      </c>
      <c r="B165" t="s">
        <v>214</v>
      </c>
      <c r="C165">
        <v>1</v>
      </c>
      <c r="D165">
        <v>2014</v>
      </c>
      <c r="E165">
        <v>6.89</v>
      </c>
      <c r="F165">
        <v>6.88</v>
      </c>
      <c r="G165">
        <v>7.22</v>
      </c>
      <c r="H165">
        <v>6.73</v>
      </c>
      <c r="I165" t="s">
        <v>224</v>
      </c>
    </row>
    <row r="166" spans="1:9" x14ac:dyDescent="0.25">
      <c r="A166" t="s">
        <v>639</v>
      </c>
      <c r="B166" t="s">
        <v>214</v>
      </c>
      <c r="C166">
        <v>1</v>
      </c>
      <c r="D166">
        <v>2015</v>
      </c>
      <c r="E166">
        <v>5.62</v>
      </c>
      <c r="F166">
        <v>6.49</v>
      </c>
      <c r="G166">
        <v>6.56</v>
      </c>
      <c r="H166">
        <v>5.28</v>
      </c>
      <c r="I166" t="s">
        <v>222</v>
      </c>
    </row>
    <row r="167" spans="1:9" x14ac:dyDescent="0.25">
      <c r="A167" t="s">
        <v>640</v>
      </c>
      <c r="B167" t="s">
        <v>214</v>
      </c>
      <c r="C167">
        <v>1</v>
      </c>
      <c r="D167">
        <v>2016</v>
      </c>
      <c r="E167">
        <v>5.96</v>
      </c>
      <c r="F167">
        <v>6.41</v>
      </c>
      <c r="G167">
        <v>6.45</v>
      </c>
      <c r="H167">
        <v>5.71</v>
      </c>
      <c r="I167" t="s">
        <v>221</v>
      </c>
    </row>
    <row r="168" spans="1:9" x14ac:dyDescent="0.25">
      <c r="A168" t="s">
        <v>641</v>
      </c>
      <c r="B168" t="s">
        <v>214</v>
      </c>
      <c r="C168">
        <v>1</v>
      </c>
      <c r="D168">
        <v>2017</v>
      </c>
      <c r="E168">
        <v>16.59</v>
      </c>
      <c r="F168">
        <v>15.6</v>
      </c>
      <c r="G168">
        <v>17.27</v>
      </c>
      <c r="H168">
        <v>14.98</v>
      </c>
      <c r="I168" t="s">
        <v>220</v>
      </c>
    </row>
    <row r="169" spans="1:9" x14ac:dyDescent="0.25">
      <c r="A169" t="s">
        <v>642</v>
      </c>
      <c r="B169" t="s">
        <v>214</v>
      </c>
      <c r="C169">
        <v>1</v>
      </c>
      <c r="D169">
        <v>2018</v>
      </c>
      <c r="E169">
        <v>26.79</v>
      </c>
      <c r="F169">
        <v>26.41</v>
      </c>
      <c r="G169">
        <v>26.92</v>
      </c>
      <c r="H169">
        <v>23.82</v>
      </c>
      <c r="I169" t="s">
        <v>219</v>
      </c>
    </row>
    <row r="170" spans="1:9" x14ac:dyDescent="0.25">
      <c r="A170" t="s">
        <v>643</v>
      </c>
      <c r="B170" t="s">
        <v>214</v>
      </c>
      <c r="C170">
        <v>1</v>
      </c>
      <c r="D170">
        <v>2019</v>
      </c>
      <c r="E170">
        <v>20.63</v>
      </c>
      <c r="F170">
        <v>18.11</v>
      </c>
      <c r="G170">
        <v>21.19</v>
      </c>
      <c r="H170">
        <v>18.079999999999998</v>
      </c>
      <c r="I170" t="s">
        <v>218</v>
      </c>
    </row>
    <row r="171" spans="1:9" x14ac:dyDescent="0.25">
      <c r="A171" t="s">
        <v>644</v>
      </c>
      <c r="B171" t="s">
        <v>214</v>
      </c>
      <c r="C171">
        <v>1</v>
      </c>
      <c r="D171">
        <v>2020</v>
      </c>
      <c r="E171">
        <v>30.08</v>
      </c>
      <c r="F171">
        <v>30.06</v>
      </c>
      <c r="G171">
        <v>31.9</v>
      </c>
      <c r="H171">
        <v>29.12</v>
      </c>
      <c r="I171" t="s">
        <v>217</v>
      </c>
    </row>
    <row r="172" spans="1:9" x14ac:dyDescent="0.25">
      <c r="A172" t="s">
        <v>645</v>
      </c>
      <c r="B172" t="s">
        <v>214</v>
      </c>
      <c r="C172">
        <v>1</v>
      </c>
      <c r="D172">
        <v>2021</v>
      </c>
      <c r="E172">
        <v>26.26</v>
      </c>
      <c r="F172">
        <v>27.1</v>
      </c>
      <c r="G172">
        <v>28.53</v>
      </c>
      <c r="H172">
        <v>25.32</v>
      </c>
      <c r="I172" t="s">
        <v>216</v>
      </c>
    </row>
    <row r="173" spans="1:9" x14ac:dyDescent="0.25">
      <c r="A173" t="s">
        <v>646</v>
      </c>
      <c r="B173" t="s">
        <v>214</v>
      </c>
      <c r="C173">
        <v>1</v>
      </c>
      <c r="D173">
        <v>2022</v>
      </c>
      <c r="E173">
        <v>20.22</v>
      </c>
      <c r="F173">
        <v>18.010000000000002</v>
      </c>
      <c r="G173">
        <v>20.39</v>
      </c>
      <c r="H173">
        <v>15.85</v>
      </c>
      <c r="I173" t="s">
        <v>215</v>
      </c>
    </row>
    <row r="174" spans="1:9" x14ac:dyDescent="0.25">
      <c r="A174" t="s">
        <v>647</v>
      </c>
      <c r="B174" t="s">
        <v>228</v>
      </c>
      <c r="C174">
        <v>1</v>
      </c>
      <c r="D174">
        <v>1997</v>
      </c>
      <c r="E174">
        <v>0.25</v>
      </c>
      <c r="F174">
        <v>0.33</v>
      </c>
      <c r="G174">
        <v>0.33</v>
      </c>
      <c r="H174">
        <v>0.25</v>
      </c>
      <c r="I174" t="s">
        <v>248</v>
      </c>
    </row>
    <row r="175" spans="1:9" x14ac:dyDescent="0.25">
      <c r="A175" t="s">
        <v>648</v>
      </c>
      <c r="B175" t="s">
        <v>228</v>
      </c>
      <c r="C175">
        <v>1</v>
      </c>
      <c r="D175">
        <v>1999</v>
      </c>
      <c r="E175">
        <v>0.33</v>
      </c>
      <c r="F175">
        <v>0.33</v>
      </c>
      <c r="G175">
        <v>0.33</v>
      </c>
      <c r="H175">
        <v>0.33</v>
      </c>
      <c r="I175" t="s">
        <v>247</v>
      </c>
    </row>
    <row r="176" spans="1:9" x14ac:dyDescent="0.25">
      <c r="A176" t="s">
        <v>649</v>
      </c>
      <c r="B176" t="s">
        <v>228</v>
      </c>
      <c r="C176">
        <v>1</v>
      </c>
      <c r="D176">
        <v>2000</v>
      </c>
      <c r="E176">
        <v>1.26</v>
      </c>
      <c r="F176">
        <v>1.0900000000000001</v>
      </c>
      <c r="G176">
        <v>1.27</v>
      </c>
      <c r="H176">
        <v>1.0900000000000001</v>
      </c>
      <c r="I176" t="s">
        <v>246</v>
      </c>
    </row>
    <row r="177" spans="1:9" x14ac:dyDescent="0.25">
      <c r="A177" t="s">
        <v>650</v>
      </c>
      <c r="B177" t="s">
        <v>228</v>
      </c>
      <c r="C177">
        <v>1</v>
      </c>
      <c r="D177">
        <v>2001</v>
      </c>
      <c r="E177">
        <v>1.1599999999999999</v>
      </c>
      <c r="F177">
        <v>1.01</v>
      </c>
      <c r="G177">
        <v>1.1599999999999999</v>
      </c>
      <c r="H177">
        <v>1.01</v>
      </c>
      <c r="I177" t="s">
        <v>245</v>
      </c>
    </row>
    <row r="178" spans="1:9" x14ac:dyDescent="0.25">
      <c r="A178" t="s">
        <v>651</v>
      </c>
      <c r="B178" t="s">
        <v>228</v>
      </c>
      <c r="C178">
        <v>1</v>
      </c>
      <c r="D178">
        <v>2002</v>
      </c>
      <c r="E178">
        <v>1.33</v>
      </c>
      <c r="F178">
        <v>1.58</v>
      </c>
      <c r="G178">
        <v>1.58</v>
      </c>
      <c r="H178">
        <v>1.33</v>
      </c>
      <c r="I178" t="s">
        <v>244</v>
      </c>
    </row>
    <row r="179" spans="1:9" x14ac:dyDescent="0.25">
      <c r="A179" t="s">
        <v>652</v>
      </c>
      <c r="B179" t="s">
        <v>228</v>
      </c>
      <c r="C179">
        <v>1</v>
      </c>
      <c r="D179">
        <v>2003</v>
      </c>
      <c r="E179">
        <v>1.85</v>
      </c>
      <c r="F179">
        <v>1.85</v>
      </c>
      <c r="G179">
        <v>1.91</v>
      </c>
      <c r="H179">
        <v>1.81</v>
      </c>
      <c r="I179" t="s">
        <v>243</v>
      </c>
    </row>
    <row r="180" spans="1:9" x14ac:dyDescent="0.25">
      <c r="A180" t="s">
        <v>653</v>
      </c>
      <c r="B180" t="s">
        <v>228</v>
      </c>
      <c r="C180">
        <v>1</v>
      </c>
      <c r="D180">
        <v>2004</v>
      </c>
      <c r="E180">
        <v>3.41</v>
      </c>
      <c r="F180">
        <v>3.7</v>
      </c>
      <c r="G180">
        <v>3.7</v>
      </c>
      <c r="H180">
        <v>3.34</v>
      </c>
      <c r="I180" t="s">
        <v>242</v>
      </c>
    </row>
    <row r="181" spans="1:9" x14ac:dyDescent="0.25">
      <c r="A181" t="s">
        <v>654</v>
      </c>
      <c r="B181" t="s">
        <v>228</v>
      </c>
      <c r="C181">
        <v>1</v>
      </c>
      <c r="D181">
        <v>2005</v>
      </c>
      <c r="E181">
        <v>5.52</v>
      </c>
      <c r="F181">
        <v>6.02</v>
      </c>
      <c r="G181">
        <v>6.06</v>
      </c>
      <c r="H181">
        <v>5.28</v>
      </c>
      <c r="I181" t="s">
        <v>241</v>
      </c>
    </row>
    <row r="182" spans="1:9" x14ac:dyDescent="0.25">
      <c r="A182" t="s">
        <v>655</v>
      </c>
      <c r="B182" t="s">
        <v>228</v>
      </c>
      <c r="C182">
        <v>1</v>
      </c>
      <c r="D182">
        <v>2006</v>
      </c>
      <c r="E182">
        <v>8.18</v>
      </c>
      <c r="F182">
        <v>6.48</v>
      </c>
      <c r="G182">
        <v>8.25</v>
      </c>
      <c r="H182">
        <v>6.31</v>
      </c>
      <c r="I182" t="s">
        <v>51</v>
      </c>
    </row>
    <row r="183" spans="1:9" x14ac:dyDescent="0.25">
      <c r="A183" t="s">
        <v>656</v>
      </c>
      <c r="B183" t="s">
        <v>228</v>
      </c>
      <c r="C183">
        <v>1</v>
      </c>
      <c r="D183">
        <v>2007</v>
      </c>
      <c r="E183">
        <v>9.89</v>
      </c>
      <c r="F183">
        <v>10.15</v>
      </c>
      <c r="G183">
        <v>10.27</v>
      </c>
      <c r="H183">
        <v>9.06</v>
      </c>
      <c r="I183" t="s">
        <v>240</v>
      </c>
    </row>
    <row r="184" spans="1:9" x14ac:dyDescent="0.25">
      <c r="A184" t="s">
        <v>657</v>
      </c>
      <c r="B184" t="s">
        <v>228</v>
      </c>
      <c r="C184">
        <v>1</v>
      </c>
      <c r="D184">
        <v>2008</v>
      </c>
      <c r="E184">
        <v>12.3</v>
      </c>
      <c r="F184">
        <v>13.88</v>
      </c>
      <c r="G184">
        <v>14.03</v>
      </c>
      <c r="H184">
        <v>10.93</v>
      </c>
      <c r="I184" t="s">
        <v>47</v>
      </c>
    </row>
    <row r="185" spans="1:9" x14ac:dyDescent="0.25">
      <c r="A185" t="s">
        <v>658</v>
      </c>
      <c r="B185" t="s">
        <v>228</v>
      </c>
      <c r="C185">
        <v>1</v>
      </c>
      <c r="D185">
        <v>2009</v>
      </c>
      <c r="E185">
        <v>8.11</v>
      </c>
      <c r="F185">
        <v>8.3800000000000008</v>
      </c>
      <c r="G185">
        <v>10.37</v>
      </c>
      <c r="H185">
        <v>8.11</v>
      </c>
      <c r="I185" t="s">
        <v>93</v>
      </c>
    </row>
    <row r="186" spans="1:9" x14ac:dyDescent="0.25">
      <c r="A186" t="s">
        <v>659</v>
      </c>
      <c r="B186" t="s">
        <v>228</v>
      </c>
      <c r="C186">
        <v>1</v>
      </c>
      <c r="D186">
        <v>2010</v>
      </c>
      <c r="E186">
        <v>13.49</v>
      </c>
      <c r="F186">
        <v>15.54</v>
      </c>
      <c r="G186">
        <v>15.83</v>
      </c>
      <c r="H186">
        <v>13.18</v>
      </c>
      <c r="I186" t="s">
        <v>239</v>
      </c>
    </row>
    <row r="187" spans="1:9" x14ac:dyDescent="0.25">
      <c r="A187" t="s">
        <v>660</v>
      </c>
      <c r="B187" t="s">
        <v>228</v>
      </c>
      <c r="C187">
        <v>1</v>
      </c>
      <c r="D187">
        <v>2011</v>
      </c>
      <c r="E187">
        <v>11.52</v>
      </c>
      <c r="F187">
        <v>12.1</v>
      </c>
      <c r="G187">
        <v>13.19</v>
      </c>
      <c r="H187">
        <v>11.35</v>
      </c>
      <c r="I187" t="s">
        <v>238</v>
      </c>
    </row>
    <row r="188" spans="1:9" x14ac:dyDescent="0.25">
      <c r="A188" t="s">
        <v>661</v>
      </c>
      <c r="B188" t="s">
        <v>228</v>
      </c>
      <c r="C188">
        <v>1</v>
      </c>
      <c r="D188">
        <v>2012</v>
      </c>
      <c r="E188">
        <v>10.01</v>
      </c>
      <c r="F188">
        <v>8.8699999999999992</v>
      </c>
      <c r="G188">
        <v>10.14</v>
      </c>
      <c r="H188">
        <v>8.74</v>
      </c>
      <c r="I188" t="s">
        <v>141</v>
      </c>
    </row>
    <row r="189" spans="1:9" x14ac:dyDescent="0.25">
      <c r="A189" t="s">
        <v>662</v>
      </c>
      <c r="B189" t="s">
        <v>228</v>
      </c>
      <c r="C189">
        <v>1</v>
      </c>
      <c r="D189">
        <v>2013</v>
      </c>
      <c r="E189">
        <v>11.37</v>
      </c>
      <c r="F189">
        <v>11.71</v>
      </c>
      <c r="G189">
        <v>12.58</v>
      </c>
      <c r="H189">
        <v>10.81</v>
      </c>
      <c r="I189" t="s">
        <v>236</v>
      </c>
    </row>
    <row r="190" spans="1:9" x14ac:dyDescent="0.25">
      <c r="A190" t="s">
        <v>663</v>
      </c>
      <c r="B190" t="s">
        <v>228</v>
      </c>
      <c r="C190">
        <v>1</v>
      </c>
      <c r="D190">
        <v>2014</v>
      </c>
      <c r="E190">
        <v>10.68</v>
      </c>
      <c r="F190">
        <v>11.36</v>
      </c>
      <c r="G190">
        <v>11.46</v>
      </c>
      <c r="H190">
        <v>10.11</v>
      </c>
      <c r="I190" t="s">
        <v>97</v>
      </c>
    </row>
    <row r="191" spans="1:9" x14ac:dyDescent="0.25">
      <c r="A191" t="s">
        <v>664</v>
      </c>
      <c r="B191" t="s">
        <v>228</v>
      </c>
      <c r="C191">
        <v>1</v>
      </c>
      <c r="D191">
        <v>2015</v>
      </c>
      <c r="E191">
        <v>5.68</v>
      </c>
      <c r="F191">
        <v>6.09</v>
      </c>
      <c r="G191">
        <v>6.7</v>
      </c>
      <c r="H191">
        <v>5.4</v>
      </c>
      <c r="I191" t="s">
        <v>235</v>
      </c>
    </row>
    <row r="192" spans="1:9" x14ac:dyDescent="0.25">
      <c r="A192" t="s">
        <v>665</v>
      </c>
      <c r="B192" t="s">
        <v>228</v>
      </c>
      <c r="C192">
        <v>1</v>
      </c>
      <c r="D192">
        <v>2016</v>
      </c>
      <c r="E192">
        <v>2.08</v>
      </c>
      <c r="F192">
        <v>2.79</v>
      </c>
      <c r="G192">
        <v>2.79</v>
      </c>
      <c r="H192">
        <v>1.95</v>
      </c>
      <c r="I192" t="s">
        <v>234</v>
      </c>
    </row>
    <row r="193" spans="1:9" x14ac:dyDescent="0.25">
      <c r="A193" t="s">
        <v>666</v>
      </c>
      <c r="B193" t="s">
        <v>228</v>
      </c>
      <c r="C193">
        <v>1</v>
      </c>
      <c r="D193">
        <v>2017</v>
      </c>
      <c r="E193">
        <v>6.95</v>
      </c>
      <c r="F193">
        <v>6.32</v>
      </c>
      <c r="G193">
        <v>7.61</v>
      </c>
      <c r="H193">
        <v>6.1</v>
      </c>
      <c r="I193" t="s">
        <v>232</v>
      </c>
    </row>
    <row r="194" spans="1:9" x14ac:dyDescent="0.25">
      <c r="A194" t="s">
        <v>667</v>
      </c>
      <c r="B194" t="s">
        <v>228</v>
      </c>
      <c r="C194">
        <v>1</v>
      </c>
      <c r="D194">
        <v>2018</v>
      </c>
      <c r="E194">
        <v>10.01</v>
      </c>
      <c r="F194">
        <v>8.43</v>
      </c>
      <c r="G194">
        <v>10.58</v>
      </c>
      <c r="H194">
        <v>8.43</v>
      </c>
      <c r="I194" t="s">
        <v>231</v>
      </c>
    </row>
    <row r="195" spans="1:9" x14ac:dyDescent="0.25">
      <c r="A195" t="s">
        <v>668</v>
      </c>
      <c r="B195" t="s">
        <v>228</v>
      </c>
      <c r="C195">
        <v>1</v>
      </c>
      <c r="D195">
        <v>2019</v>
      </c>
      <c r="E195">
        <v>10.6</v>
      </c>
      <c r="F195">
        <v>10.3</v>
      </c>
      <c r="G195">
        <v>10.97</v>
      </c>
      <c r="H195">
        <v>9.93</v>
      </c>
      <c r="I195" t="s">
        <v>17</v>
      </c>
    </row>
    <row r="196" spans="1:9" x14ac:dyDescent="0.25">
      <c r="A196" t="s">
        <v>669</v>
      </c>
      <c r="B196" t="s">
        <v>228</v>
      </c>
      <c r="C196">
        <v>1</v>
      </c>
      <c r="D196">
        <v>2020</v>
      </c>
      <c r="E196">
        <v>15.62</v>
      </c>
      <c r="F196">
        <v>14.72</v>
      </c>
      <c r="G196">
        <v>16.71</v>
      </c>
      <c r="H196">
        <v>14.54</v>
      </c>
      <c r="I196" t="s">
        <v>21</v>
      </c>
    </row>
    <row r="197" spans="1:9" x14ac:dyDescent="0.25">
      <c r="A197" t="s">
        <v>670</v>
      </c>
      <c r="B197" t="s">
        <v>228</v>
      </c>
      <c r="C197">
        <v>1</v>
      </c>
      <c r="D197">
        <v>2021</v>
      </c>
      <c r="E197">
        <v>17.16</v>
      </c>
      <c r="F197">
        <v>17.63</v>
      </c>
      <c r="G197">
        <v>21.58</v>
      </c>
      <c r="H197">
        <v>16.54</v>
      </c>
      <c r="I197" t="s">
        <v>81</v>
      </c>
    </row>
    <row r="198" spans="1:9" x14ac:dyDescent="0.25">
      <c r="A198" t="s">
        <v>671</v>
      </c>
      <c r="B198" t="s">
        <v>228</v>
      </c>
      <c r="C198">
        <v>1</v>
      </c>
      <c r="D198">
        <v>2022</v>
      </c>
      <c r="E198">
        <v>22.6</v>
      </c>
      <c r="F198">
        <v>22.47</v>
      </c>
      <c r="G198">
        <v>23.84</v>
      </c>
      <c r="H198">
        <v>21.66</v>
      </c>
      <c r="I198" t="s">
        <v>229</v>
      </c>
    </row>
    <row r="199" spans="1:9" x14ac:dyDescent="0.25">
      <c r="A199" t="s">
        <v>672</v>
      </c>
      <c r="B199" t="s">
        <v>250</v>
      </c>
      <c r="C199">
        <v>1</v>
      </c>
      <c r="D199">
        <v>2017</v>
      </c>
      <c r="E199">
        <v>17.22</v>
      </c>
      <c r="F199">
        <v>17.41</v>
      </c>
      <c r="G199">
        <v>18.190000000000001</v>
      </c>
      <c r="H199">
        <v>17.190000000000001</v>
      </c>
      <c r="I199" t="s">
        <v>254</v>
      </c>
    </row>
    <row r="200" spans="1:9" x14ac:dyDescent="0.25">
      <c r="A200" t="s">
        <v>673</v>
      </c>
      <c r="B200" t="s">
        <v>250</v>
      </c>
      <c r="C200">
        <v>1</v>
      </c>
      <c r="D200">
        <v>2018</v>
      </c>
      <c r="E200">
        <v>25.17</v>
      </c>
      <c r="F200">
        <v>23.37</v>
      </c>
      <c r="G200">
        <v>25.54</v>
      </c>
      <c r="H200">
        <v>22.67</v>
      </c>
      <c r="I200" t="s">
        <v>253</v>
      </c>
    </row>
    <row r="201" spans="1:9" x14ac:dyDescent="0.25">
      <c r="A201" t="s">
        <v>674</v>
      </c>
      <c r="B201" t="s">
        <v>250</v>
      </c>
      <c r="C201">
        <v>1</v>
      </c>
      <c r="D201">
        <v>2019</v>
      </c>
      <c r="E201">
        <v>27.2</v>
      </c>
      <c r="F201">
        <v>26.95</v>
      </c>
      <c r="G201">
        <v>27.98</v>
      </c>
      <c r="H201">
        <v>25.59</v>
      </c>
      <c r="I201" t="s">
        <v>252</v>
      </c>
    </row>
    <row r="202" spans="1:9" x14ac:dyDescent="0.25">
      <c r="A202" t="s">
        <v>675</v>
      </c>
      <c r="B202" t="s">
        <v>250</v>
      </c>
      <c r="C202">
        <v>1</v>
      </c>
      <c r="D202">
        <v>2020</v>
      </c>
      <c r="E202">
        <v>40.99</v>
      </c>
      <c r="F202">
        <v>37</v>
      </c>
      <c r="G202">
        <v>41.97</v>
      </c>
      <c r="H202">
        <v>36.47</v>
      </c>
      <c r="I202" t="s">
        <v>251</v>
      </c>
    </row>
    <row r="203" spans="1:9" x14ac:dyDescent="0.25">
      <c r="A203" t="s">
        <v>676</v>
      </c>
      <c r="B203" t="s">
        <v>250</v>
      </c>
      <c r="C203">
        <v>1</v>
      </c>
      <c r="D203">
        <v>2021</v>
      </c>
      <c r="E203">
        <v>67.19</v>
      </c>
      <c r="F203">
        <v>60.21</v>
      </c>
      <c r="G203">
        <v>69.89</v>
      </c>
      <c r="H203">
        <v>59.71</v>
      </c>
      <c r="I203" t="s">
        <v>53</v>
      </c>
    </row>
    <row r="204" spans="1:9" x14ac:dyDescent="0.25">
      <c r="A204" t="s">
        <v>677</v>
      </c>
      <c r="B204" t="s">
        <v>250</v>
      </c>
      <c r="C204">
        <v>1</v>
      </c>
      <c r="D204">
        <v>2022</v>
      </c>
      <c r="E204">
        <v>95.96</v>
      </c>
      <c r="F204">
        <v>109.5</v>
      </c>
      <c r="G204">
        <v>110.88</v>
      </c>
      <c r="H204">
        <v>91</v>
      </c>
      <c r="I204" t="s">
        <v>165</v>
      </c>
    </row>
    <row r="205" spans="1:9" x14ac:dyDescent="0.25">
      <c r="A205" t="s">
        <v>678</v>
      </c>
      <c r="B205" t="s">
        <v>255</v>
      </c>
      <c r="C205">
        <v>1</v>
      </c>
      <c r="D205">
        <v>2019</v>
      </c>
      <c r="E205">
        <v>6.76</v>
      </c>
      <c r="F205">
        <v>6.18</v>
      </c>
      <c r="G205">
        <v>7</v>
      </c>
      <c r="H205">
        <v>5.94</v>
      </c>
      <c r="I205" t="s">
        <v>259</v>
      </c>
    </row>
    <row r="206" spans="1:9" x14ac:dyDescent="0.25">
      <c r="A206" t="s">
        <v>679</v>
      </c>
      <c r="B206" t="s">
        <v>255</v>
      </c>
      <c r="C206">
        <v>1</v>
      </c>
      <c r="D206">
        <v>2020</v>
      </c>
      <c r="E206">
        <v>11.98</v>
      </c>
      <c r="F206">
        <v>12.98</v>
      </c>
      <c r="G206">
        <v>13.78</v>
      </c>
      <c r="H206">
        <v>11.71</v>
      </c>
      <c r="I206" t="s">
        <v>258</v>
      </c>
    </row>
    <row r="207" spans="1:9" x14ac:dyDescent="0.25">
      <c r="A207" t="s">
        <v>680</v>
      </c>
      <c r="B207" t="s">
        <v>255</v>
      </c>
      <c r="C207">
        <v>1</v>
      </c>
      <c r="D207">
        <v>2021</v>
      </c>
      <c r="E207">
        <v>17.170000000000002</v>
      </c>
      <c r="F207">
        <v>15.38</v>
      </c>
      <c r="G207">
        <v>18.48</v>
      </c>
      <c r="H207">
        <v>13.85</v>
      </c>
      <c r="I207" t="s">
        <v>257</v>
      </c>
    </row>
    <row r="208" spans="1:9" x14ac:dyDescent="0.25">
      <c r="A208" t="s">
        <v>681</v>
      </c>
      <c r="B208" t="s">
        <v>255</v>
      </c>
      <c r="C208">
        <v>1</v>
      </c>
      <c r="D208">
        <v>2022</v>
      </c>
      <c r="E208">
        <v>12.66</v>
      </c>
      <c r="F208">
        <v>10.38</v>
      </c>
      <c r="G208">
        <v>12.74</v>
      </c>
      <c r="H208">
        <v>9.3000000000000007</v>
      </c>
      <c r="I208" t="s">
        <v>256</v>
      </c>
    </row>
    <row r="209" spans="1:9" x14ac:dyDescent="0.25">
      <c r="A209" t="s">
        <v>682</v>
      </c>
      <c r="B209" t="s">
        <v>262</v>
      </c>
      <c r="C209">
        <v>1</v>
      </c>
      <c r="D209">
        <v>2013</v>
      </c>
      <c r="E209">
        <v>4.0599999999999996</v>
      </c>
      <c r="F209">
        <v>3.86</v>
      </c>
      <c r="G209">
        <v>4.07</v>
      </c>
      <c r="H209">
        <v>3.86</v>
      </c>
      <c r="I209" t="s">
        <v>267</v>
      </c>
    </row>
    <row r="210" spans="1:9" x14ac:dyDescent="0.25">
      <c r="A210" t="s">
        <v>683</v>
      </c>
      <c r="B210" t="s">
        <v>262</v>
      </c>
      <c r="C210">
        <v>1</v>
      </c>
      <c r="D210">
        <v>2014</v>
      </c>
      <c r="E210">
        <v>5.64</v>
      </c>
      <c r="F210">
        <v>5.95</v>
      </c>
      <c r="G210">
        <v>5.96</v>
      </c>
      <c r="H210">
        <v>5.64</v>
      </c>
      <c r="I210" t="s">
        <v>268</v>
      </c>
    </row>
    <row r="211" spans="1:9" x14ac:dyDescent="0.25">
      <c r="A211" t="s">
        <v>684</v>
      </c>
      <c r="B211" t="s">
        <v>262</v>
      </c>
      <c r="C211">
        <v>1</v>
      </c>
      <c r="D211">
        <v>2015</v>
      </c>
      <c r="E211">
        <v>8.92</v>
      </c>
      <c r="F211">
        <v>8.66</v>
      </c>
      <c r="G211">
        <v>8.93</v>
      </c>
      <c r="H211">
        <v>8.2799999999999994</v>
      </c>
      <c r="I211" t="s">
        <v>17</v>
      </c>
    </row>
    <row r="212" spans="1:9" x14ac:dyDescent="0.25">
      <c r="A212" t="s">
        <v>685</v>
      </c>
      <c r="B212" t="s">
        <v>262</v>
      </c>
      <c r="C212">
        <v>1</v>
      </c>
      <c r="D212">
        <v>2016</v>
      </c>
      <c r="E212">
        <v>15.78</v>
      </c>
      <c r="F212">
        <v>16.73</v>
      </c>
      <c r="G212">
        <v>16.73</v>
      </c>
      <c r="H212">
        <v>14.87</v>
      </c>
      <c r="I212" t="s">
        <v>148</v>
      </c>
    </row>
    <row r="213" spans="1:9" x14ac:dyDescent="0.25">
      <c r="A213" t="s">
        <v>686</v>
      </c>
      <c r="B213" t="s">
        <v>262</v>
      </c>
      <c r="C213">
        <v>1</v>
      </c>
      <c r="D213">
        <v>2017</v>
      </c>
      <c r="E213">
        <v>13.93</v>
      </c>
      <c r="F213">
        <v>14.02</v>
      </c>
      <c r="G213">
        <v>14.33</v>
      </c>
      <c r="H213">
        <v>13.84</v>
      </c>
      <c r="I213" t="s">
        <v>266</v>
      </c>
    </row>
    <row r="214" spans="1:9" x14ac:dyDescent="0.25">
      <c r="A214" t="s">
        <v>687</v>
      </c>
      <c r="B214" t="s">
        <v>262</v>
      </c>
      <c r="C214">
        <v>1</v>
      </c>
      <c r="D214">
        <v>2018</v>
      </c>
      <c r="E214">
        <v>21.37</v>
      </c>
      <c r="F214">
        <v>20.47</v>
      </c>
      <c r="G214">
        <v>21.98</v>
      </c>
      <c r="H214">
        <v>20.260000000000002</v>
      </c>
      <c r="I214" t="s">
        <v>265</v>
      </c>
    </row>
    <row r="215" spans="1:9" x14ac:dyDescent="0.25">
      <c r="A215" t="s">
        <v>688</v>
      </c>
      <c r="B215" t="s">
        <v>262</v>
      </c>
      <c r="C215">
        <v>1</v>
      </c>
      <c r="D215">
        <v>2019</v>
      </c>
      <c r="E215">
        <v>22.66</v>
      </c>
      <c r="F215">
        <v>22.34</v>
      </c>
      <c r="G215">
        <v>22.83</v>
      </c>
      <c r="H215">
        <v>21.58</v>
      </c>
      <c r="I215" t="s">
        <v>32</v>
      </c>
    </row>
    <row r="216" spans="1:9" x14ac:dyDescent="0.25">
      <c r="A216" t="s">
        <v>689</v>
      </c>
      <c r="B216" t="s">
        <v>262</v>
      </c>
      <c r="C216">
        <v>1</v>
      </c>
      <c r="D216">
        <v>2020</v>
      </c>
      <c r="E216">
        <v>34.25</v>
      </c>
      <c r="F216">
        <v>30.61</v>
      </c>
      <c r="G216">
        <v>34.57</v>
      </c>
      <c r="H216">
        <v>30.61</v>
      </c>
      <c r="I216" t="s">
        <v>264</v>
      </c>
    </row>
    <row r="217" spans="1:9" x14ac:dyDescent="0.25">
      <c r="A217" t="s">
        <v>690</v>
      </c>
      <c r="B217" t="s">
        <v>262</v>
      </c>
      <c r="C217">
        <v>1</v>
      </c>
      <c r="D217">
        <v>2021</v>
      </c>
      <c r="E217">
        <v>52.59</v>
      </c>
      <c r="F217">
        <v>48.69</v>
      </c>
      <c r="G217">
        <v>55.82</v>
      </c>
      <c r="H217">
        <v>47.71</v>
      </c>
      <c r="I217" t="s">
        <v>263</v>
      </c>
    </row>
    <row r="218" spans="1:9" x14ac:dyDescent="0.25">
      <c r="A218" t="s">
        <v>691</v>
      </c>
      <c r="B218" t="s">
        <v>262</v>
      </c>
      <c r="C218">
        <v>1</v>
      </c>
      <c r="D218">
        <v>2022</v>
      </c>
      <c r="E218">
        <v>69.540000000000006</v>
      </c>
      <c r="F218">
        <v>84</v>
      </c>
      <c r="G218">
        <v>87.43</v>
      </c>
      <c r="H218">
        <v>67.33</v>
      </c>
      <c r="I218" t="s">
        <v>78</v>
      </c>
    </row>
    <row r="219" spans="1:9" x14ac:dyDescent="0.25">
      <c r="A219" t="s">
        <v>692</v>
      </c>
      <c r="B219" t="s">
        <v>269</v>
      </c>
      <c r="C219">
        <v>1</v>
      </c>
      <c r="D219">
        <v>1997</v>
      </c>
      <c r="E219">
        <v>0.35</v>
      </c>
      <c r="F219">
        <v>0.34</v>
      </c>
      <c r="G219">
        <v>0.35</v>
      </c>
      <c r="H219">
        <v>0.32</v>
      </c>
      <c r="I219" t="s">
        <v>289</v>
      </c>
    </row>
    <row r="220" spans="1:9" x14ac:dyDescent="0.25">
      <c r="A220" t="s">
        <v>693</v>
      </c>
      <c r="B220" t="s">
        <v>269</v>
      </c>
      <c r="C220">
        <v>1</v>
      </c>
      <c r="D220">
        <v>1998</v>
      </c>
      <c r="E220">
        <v>0.4</v>
      </c>
      <c r="F220">
        <v>0.43</v>
      </c>
      <c r="G220">
        <v>0.43</v>
      </c>
      <c r="H220">
        <v>0.37</v>
      </c>
      <c r="I220" t="s">
        <v>177</v>
      </c>
    </row>
    <row r="221" spans="1:9" x14ac:dyDescent="0.25">
      <c r="A221" t="s">
        <v>694</v>
      </c>
      <c r="B221" t="s">
        <v>269</v>
      </c>
      <c r="C221">
        <v>1</v>
      </c>
      <c r="D221">
        <v>1999</v>
      </c>
      <c r="E221">
        <v>0.45</v>
      </c>
      <c r="F221">
        <v>0.44</v>
      </c>
      <c r="G221">
        <v>0.45</v>
      </c>
      <c r="H221">
        <v>0.44</v>
      </c>
      <c r="I221" t="s">
        <v>145</v>
      </c>
    </row>
    <row r="222" spans="1:9" x14ac:dyDescent="0.25">
      <c r="A222" t="s">
        <v>695</v>
      </c>
      <c r="B222" t="s">
        <v>269</v>
      </c>
      <c r="C222">
        <v>1</v>
      </c>
      <c r="D222">
        <v>2000</v>
      </c>
      <c r="E222">
        <v>1.1000000000000001</v>
      </c>
      <c r="F222">
        <v>1.21</v>
      </c>
      <c r="G222">
        <v>1.23</v>
      </c>
      <c r="H222">
        <v>1.0900000000000001</v>
      </c>
      <c r="I222" t="s">
        <v>288</v>
      </c>
    </row>
    <row r="223" spans="1:9" x14ac:dyDescent="0.25">
      <c r="A223" t="s">
        <v>696</v>
      </c>
      <c r="B223" t="s">
        <v>269</v>
      </c>
      <c r="C223">
        <v>1</v>
      </c>
      <c r="D223">
        <v>2001</v>
      </c>
      <c r="E223">
        <v>1.62</v>
      </c>
      <c r="F223">
        <v>1.6</v>
      </c>
      <c r="G223">
        <v>1.75</v>
      </c>
      <c r="H223">
        <v>1.6</v>
      </c>
      <c r="I223" t="s">
        <v>287</v>
      </c>
    </row>
    <row r="224" spans="1:9" x14ac:dyDescent="0.25">
      <c r="A224" t="s">
        <v>697</v>
      </c>
      <c r="B224" t="s">
        <v>269</v>
      </c>
      <c r="C224">
        <v>1</v>
      </c>
      <c r="D224">
        <v>2002</v>
      </c>
      <c r="E224">
        <v>1.5</v>
      </c>
      <c r="F224">
        <v>1.51</v>
      </c>
      <c r="G224">
        <v>1.56</v>
      </c>
      <c r="H224">
        <v>1.47</v>
      </c>
      <c r="I224" t="s">
        <v>16</v>
      </c>
    </row>
    <row r="225" spans="1:9" x14ac:dyDescent="0.25">
      <c r="A225" t="s">
        <v>698</v>
      </c>
      <c r="B225" t="s">
        <v>269</v>
      </c>
      <c r="C225">
        <v>1</v>
      </c>
      <c r="D225">
        <v>2003</v>
      </c>
      <c r="E225">
        <v>1.29</v>
      </c>
      <c r="F225">
        <v>1.34</v>
      </c>
      <c r="G225">
        <v>1.47</v>
      </c>
      <c r="H225">
        <v>1.25</v>
      </c>
      <c r="I225" t="s">
        <v>261</v>
      </c>
    </row>
    <row r="226" spans="1:9" x14ac:dyDescent="0.25">
      <c r="A226" t="s">
        <v>699</v>
      </c>
      <c r="B226" t="s">
        <v>269</v>
      </c>
      <c r="C226">
        <v>1</v>
      </c>
      <c r="D226">
        <v>2004</v>
      </c>
      <c r="E226">
        <v>2.23</v>
      </c>
      <c r="F226">
        <v>2.1800000000000002</v>
      </c>
      <c r="G226">
        <v>2.2799999999999998</v>
      </c>
      <c r="H226">
        <v>2</v>
      </c>
      <c r="I226" t="s">
        <v>286</v>
      </c>
    </row>
    <row r="227" spans="1:9" x14ac:dyDescent="0.25">
      <c r="A227" t="s">
        <v>700</v>
      </c>
      <c r="B227" t="s">
        <v>269</v>
      </c>
      <c r="C227">
        <v>1</v>
      </c>
      <c r="D227">
        <v>2005</v>
      </c>
      <c r="E227">
        <v>2.89</v>
      </c>
      <c r="F227">
        <v>3.02</v>
      </c>
      <c r="G227">
        <v>3.03</v>
      </c>
      <c r="H227">
        <v>2.89</v>
      </c>
      <c r="I227" t="s">
        <v>61</v>
      </c>
    </row>
    <row r="228" spans="1:9" x14ac:dyDescent="0.25">
      <c r="A228" t="s">
        <v>701</v>
      </c>
      <c r="B228" t="s">
        <v>269</v>
      </c>
      <c r="C228">
        <v>1</v>
      </c>
      <c r="D228">
        <v>2006</v>
      </c>
      <c r="E228">
        <v>4.88</v>
      </c>
      <c r="F228">
        <v>4.0599999999999996</v>
      </c>
      <c r="G228">
        <v>4.97</v>
      </c>
      <c r="H228">
        <v>4.0599999999999996</v>
      </c>
      <c r="I228" t="s">
        <v>285</v>
      </c>
    </row>
    <row r="229" spans="1:9" x14ac:dyDescent="0.25">
      <c r="A229" t="s">
        <v>702</v>
      </c>
      <c r="B229" t="s">
        <v>269</v>
      </c>
      <c r="C229">
        <v>1</v>
      </c>
      <c r="D229">
        <v>2007</v>
      </c>
      <c r="E229">
        <v>5.75</v>
      </c>
      <c r="F229">
        <v>5.53</v>
      </c>
      <c r="G229">
        <v>5.79</v>
      </c>
      <c r="H229">
        <v>5.35</v>
      </c>
      <c r="I229" t="s">
        <v>284</v>
      </c>
    </row>
    <row r="230" spans="1:9" x14ac:dyDescent="0.25">
      <c r="A230" t="s">
        <v>703</v>
      </c>
      <c r="B230" t="s">
        <v>269</v>
      </c>
      <c r="C230">
        <v>1</v>
      </c>
      <c r="D230">
        <v>2008</v>
      </c>
      <c r="E230">
        <v>6.07</v>
      </c>
      <c r="F230">
        <v>7.56</v>
      </c>
      <c r="G230">
        <v>7.56</v>
      </c>
      <c r="H230">
        <v>6.07</v>
      </c>
      <c r="I230" t="s">
        <v>283</v>
      </c>
    </row>
    <row r="231" spans="1:9" x14ac:dyDescent="0.25">
      <c r="A231" t="s">
        <v>704</v>
      </c>
      <c r="B231" t="s">
        <v>269</v>
      </c>
      <c r="C231">
        <v>1</v>
      </c>
      <c r="D231">
        <v>2009</v>
      </c>
      <c r="E231">
        <v>4.55</v>
      </c>
      <c r="F231">
        <v>4.93</v>
      </c>
      <c r="G231">
        <v>5.48</v>
      </c>
      <c r="H231">
        <v>4.24</v>
      </c>
      <c r="I231" t="s">
        <v>176</v>
      </c>
    </row>
    <row r="232" spans="1:9" x14ac:dyDescent="0.25">
      <c r="A232" t="s">
        <v>705</v>
      </c>
      <c r="B232" t="s">
        <v>269</v>
      </c>
      <c r="C232">
        <v>1</v>
      </c>
      <c r="D232">
        <v>2010</v>
      </c>
      <c r="E232">
        <v>7.56</v>
      </c>
      <c r="F232">
        <v>7.79</v>
      </c>
      <c r="G232">
        <v>8.08</v>
      </c>
      <c r="H232">
        <v>7.25</v>
      </c>
      <c r="I232" t="s">
        <v>13</v>
      </c>
    </row>
    <row r="233" spans="1:9" x14ac:dyDescent="0.25">
      <c r="A233" t="s">
        <v>706</v>
      </c>
      <c r="B233" t="s">
        <v>269</v>
      </c>
      <c r="C233">
        <v>1</v>
      </c>
      <c r="D233">
        <v>2011</v>
      </c>
      <c r="E233">
        <v>7.79</v>
      </c>
      <c r="F233">
        <v>8.33</v>
      </c>
      <c r="G233">
        <v>8.57</v>
      </c>
      <c r="H233">
        <v>7.73</v>
      </c>
      <c r="I233" t="s">
        <v>282</v>
      </c>
    </row>
    <row r="234" spans="1:9" x14ac:dyDescent="0.25">
      <c r="A234" t="s">
        <v>707</v>
      </c>
      <c r="B234" t="s">
        <v>269</v>
      </c>
      <c r="C234">
        <v>1</v>
      </c>
      <c r="D234">
        <v>2012</v>
      </c>
      <c r="E234">
        <v>8.52</v>
      </c>
      <c r="F234">
        <v>7.72</v>
      </c>
      <c r="G234">
        <v>8.75</v>
      </c>
      <c r="H234">
        <v>7.72</v>
      </c>
      <c r="I234" t="s">
        <v>281</v>
      </c>
    </row>
    <row r="235" spans="1:9" x14ac:dyDescent="0.25">
      <c r="A235" t="s">
        <v>708</v>
      </c>
      <c r="B235" t="s">
        <v>269</v>
      </c>
      <c r="C235">
        <v>1</v>
      </c>
      <c r="D235">
        <v>2013</v>
      </c>
      <c r="E235">
        <v>9.74</v>
      </c>
      <c r="F235">
        <v>9.14</v>
      </c>
      <c r="G235">
        <v>10.130000000000001</v>
      </c>
      <c r="H235">
        <v>9.0399999999999991</v>
      </c>
      <c r="I235" t="s">
        <v>280</v>
      </c>
    </row>
    <row r="236" spans="1:9" x14ac:dyDescent="0.25">
      <c r="A236" t="s">
        <v>709</v>
      </c>
      <c r="B236" t="s">
        <v>269</v>
      </c>
      <c r="C236">
        <v>1</v>
      </c>
      <c r="D236">
        <v>2014</v>
      </c>
      <c r="E236">
        <v>9.1199999999999992</v>
      </c>
      <c r="F236">
        <v>9.75</v>
      </c>
      <c r="G236">
        <v>9.75</v>
      </c>
      <c r="H236">
        <v>8.69</v>
      </c>
      <c r="I236" t="s">
        <v>279</v>
      </c>
    </row>
    <row r="237" spans="1:9" x14ac:dyDescent="0.25">
      <c r="A237" t="s">
        <v>710</v>
      </c>
      <c r="B237" t="s">
        <v>269</v>
      </c>
      <c r="C237">
        <v>1</v>
      </c>
      <c r="D237">
        <v>2015</v>
      </c>
      <c r="E237">
        <v>11.32</v>
      </c>
      <c r="F237">
        <v>11.89</v>
      </c>
      <c r="G237">
        <v>12.22</v>
      </c>
      <c r="H237">
        <v>11.17</v>
      </c>
      <c r="I237" t="s">
        <v>278</v>
      </c>
    </row>
    <row r="238" spans="1:9" x14ac:dyDescent="0.25">
      <c r="A238" t="s">
        <v>711</v>
      </c>
      <c r="B238" t="s">
        <v>269</v>
      </c>
      <c r="C238">
        <v>1</v>
      </c>
      <c r="D238">
        <v>2016</v>
      </c>
      <c r="E238">
        <v>9.8800000000000008</v>
      </c>
      <c r="F238">
        <v>10.65</v>
      </c>
      <c r="G238">
        <v>10.65</v>
      </c>
      <c r="H238">
        <v>9.39</v>
      </c>
      <c r="I238" t="s">
        <v>237</v>
      </c>
    </row>
    <row r="239" spans="1:9" x14ac:dyDescent="0.25">
      <c r="A239" t="s">
        <v>712</v>
      </c>
      <c r="B239" t="s">
        <v>269</v>
      </c>
      <c r="C239">
        <v>1</v>
      </c>
      <c r="D239">
        <v>2017</v>
      </c>
      <c r="E239">
        <v>16.5</v>
      </c>
      <c r="F239">
        <v>15.16</v>
      </c>
      <c r="G239">
        <v>17.03</v>
      </c>
      <c r="H239">
        <v>15.07</v>
      </c>
      <c r="I239" t="s">
        <v>277</v>
      </c>
    </row>
    <row r="240" spans="1:9" x14ac:dyDescent="0.25">
      <c r="A240" t="s">
        <v>713</v>
      </c>
      <c r="B240" t="s">
        <v>269</v>
      </c>
      <c r="C240">
        <v>1</v>
      </c>
      <c r="D240">
        <v>2018</v>
      </c>
      <c r="E240">
        <v>23.74</v>
      </c>
      <c r="F240">
        <v>20.329999999999998</v>
      </c>
      <c r="G240">
        <v>24.09</v>
      </c>
      <c r="H240">
        <v>20.21</v>
      </c>
      <c r="I240" t="s">
        <v>276</v>
      </c>
    </row>
    <row r="241" spans="1:9" x14ac:dyDescent="0.25">
      <c r="A241" t="s">
        <v>714</v>
      </c>
      <c r="B241" t="s">
        <v>269</v>
      </c>
      <c r="C241">
        <v>1</v>
      </c>
      <c r="D241">
        <v>2019</v>
      </c>
      <c r="E241">
        <v>28.45</v>
      </c>
      <c r="F241">
        <v>26.01</v>
      </c>
      <c r="G241">
        <v>28.57</v>
      </c>
      <c r="H241">
        <v>26.01</v>
      </c>
      <c r="I241" t="s">
        <v>274</v>
      </c>
    </row>
    <row r="242" spans="1:9" x14ac:dyDescent="0.25">
      <c r="A242" t="s">
        <v>715</v>
      </c>
      <c r="B242" t="s">
        <v>269</v>
      </c>
      <c r="C242">
        <v>1</v>
      </c>
      <c r="D242">
        <v>2020</v>
      </c>
      <c r="E242">
        <v>27.84</v>
      </c>
      <c r="F242">
        <v>30.43</v>
      </c>
      <c r="G242">
        <v>31.01</v>
      </c>
      <c r="H242">
        <v>27.48</v>
      </c>
      <c r="I242" t="s">
        <v>204</v>
      </c>
    </row>
    <row r="243" spans="1:9" x14ac:dyDescent="0.25">
      <c r="A243" t="s">
        <v>716</v>
      </c>
      <c r="B243" t="s">
        <v>269</v>
      </c>
      <c r="C243">
        <v>1</v>
      </c>
      <c r="D243">
        <v>2021</v>
      </c>
      <c r="E243">
        <v>25.58</v>
      </c>
      <c r="F243">
        <v>27.92</v>
      </c>
      <c r="G243">
        <v>29.05</v>
      </c>
      <c r="H243">
        <v>24.94</v>
      </c>
      <c r="I243" t="s">
        <v>272</v>
      </c>
    </row>
    <row r="244" spans="1:9" x14ac:dyDescent="0.25">
      <c r="A244" t="s">
        <v>717</v>
      </c>
      <c r="B244" t="s">
        <v>269</v>
      </c>
      <c r="C244">
        <v>1</v>
      </c>
      <c r="D244">
        <v>2022</v>
      </c>
      <c r="E244">
        <v>22.09</v>
      </c>
      <c r="F244">
        <v>19.29</v>
      </c>
      <c r="G244">
        <v>22.23</v>
      </c>
      <c r="H244">
        <v>19.04</v>
      </c>
      <c r="I244" t="s">
        <v>270</v>
      </c>
    </row>
    <row r="245" spans="1:9" x14ac:dyDescent="0.25">
      <c r="A245" t="s">
        <v>718</v>
      </c>
      <c r="B245" t="s">
        <v>290</v>
      </c>
      <c r="C245">
        <v>1</v>
      </c>
      <c r="D245">
        <v>2013</v>
      </c>
      <c r="E245">
        <v>7.52</v>
      </c>
      <c r="F245">
        <v>7.48</v>
      </c>
      <c r="G245">
        <v>7.61</v>
      </c>
      <c r="H245">
        <v>7.48</v>
      </c>
      <c r="I245" t="s">
        <v>298</v>
      </c>
    </row>
    <row r="246" spans="1:9" x14ac:dyDescent="0.25">
      <c r="A246" t="s">
        <v>719</v>
      </c>
      <c r="B246" t="s">
        <v>290</v>
      </c>
      <c r="C246">
        <v>1</v>
      </c>
      <c r="D246">
        <v>2014</v>
      </c>
      <c r="E246">
        <v>11.12</v>
      </c>
      <c r="F246">
        <v>11.51</v>
      </c>
      <c r="G246">
        <v>11.67</v>
      </c>
      <c r="H246">
        <v>11.05</v>
      </c>
      <c r="I246" t="s">
        <v>191</v>
      </c>
    </row>
    <row r="247" spans="1:9" x14ac:dyDescent="0.25">
      <c r="A247" t="s">
        <v>720</v>
      </c>
      <c r="B247" t="s">
        <v>290</v>
      </c>
      <c r="C247">
        <v>1</v>
      </c>
      <c r="D247">
        <v>2015</v>
      </c>
      <c r="E247">
        <v>12.66</v>
      </c>
      <c r="F247">
        <v>14.27</v>
      </c>
      <c r="G247">
        <v>14.27</v>
      </c>
      <c r="H247">
        <v>12.23</v>
      </c>
      <c r="I247" t="s">
        <v>297</v>
      </c>
    </row>
    <row r="248" spans="1:9" x14ac:dyDescent="0.25">
      <c r="A248" t="s">
        <v>721</v>
      </c>
      <c r="B248" t="s">
        <v>290</v>
      </c>
      <c r="C248">
        <v>1</v>
      </c>
      <c r="D248">
        <v>2016</v>
      </c>
      <c r="E248">
        <v>20.41</v>
      </c>
      <c r="F248">
        <v>22.51</v>
      </c>
      <c r="G248">
        <v>22.51</v>
      </c>
      <c r="H248">
        <v>19.600000000000001</v>
      </c>
      <c r="I248" t="s">
        <v>296</v>
      </c>
    </row>
    <row r="249" spans="1:9" x14ac:dyDescent="0.25">
      <c r="A249" t="s">
        <v>722</v>
      </c>
      <c r="B249" t="s">
        <v>290</v>
      </c>
      <c r="C249">
        <v>1</v>
      </c>
      <c r="D249">
        <v>2017</v>
      </c>
      <c r="E249">
        <v>23.64</v>
      </c>
      <c r="F249">
        <v>24.68</v>
      </c>
      <c r="G249">
        <v>25.07</v>
      </c>
      <c r="H249">
        <v>23.64</v>
      </c>
      <c r="I249" t="s">
        <v>295</v>
      </c>
    </row>
    <row r="250" spans="1:9" x14ac:dyDescent="0.25">
      <c r="A250" t="s">
        <v>723</v>
      </c>
      <c r="B250" t="s">
        <v>290</v>
      </c>
      <c r="C250">
        <v>1</v>
      </c>
      <c r="D250">
        <v>2018</v>
      </c>
      <c r="E250">
        <v>33.74</v>
      </c>
      <c r="F250">
        <v>31.88</v>
      </c>
      <c r="G250">
        <v>34.69</v>
      </c>
      <c r="H250">
        <v>31.88</v>
      </c>
      <c r="I250" t="s">
        <v>294</v>
      </c>
    </row>
    <row r="251" spans="1:9" x14ac:dyDescent="0.25">
      <c r="A251" t="s">
        <v>724</v>
      </c>
      <c r="B251" t="s">
        <v>290</v>
      </c>
      <c r="C251">
        <v>1</v>
      </c>
      <c r="D251">
        <v>2019</v>
      </c>
      <c r="E251">
        <v>35.24</v>
      </c>
      <c r="F251">
        <v>34.590000000000003</v>
      </c>
      <c r="G251">
        <v>36.76</v>
      </c>
      <c r="H251">
        <v>34.03</v>
      </c>
      <c r="I251" t="s">
        <v>292</v>
      </c>
    </row>
    <row r="252" spans="1:9" x14ac:dyDescent="0.25">
      <c r="A252" t="s">
        <v>725</v>
      </c>
      <c r="B252" t="s">
        <v>290</v>
      </c>
      <c r="C252">
        <v>1</v>
      </c>
      <c r="D252">
        <v>2020</v>
      </c>
      <c r="E252">
        <v>54.71</v>
      </c>
      <c r="F252">
        <v>54.74</v>
      </c>
      <c r="G252">
        <v>55.91</v>
      </c>
      <c r="H252">
        <v>52.92</v>
      </c>
      <c r="I252" t="s">
        <v>186</v>
      </c>
    </row>
    <row r="253" spans="1:9" x14ac:dyDescent="0.25">
      <c r="A253" t="s">
        <v>726</v>
      </c>
      <c r="B253" t="s">
        <v>290</v>
      </c>
      <c r="C253">
        <v>1</v>
      </c>
      <c r="D253">
        <v>2021</v>
      </c>
      <c r="E253">
        <v>70.67</v>
      </c>
      <c r="F253">
        <v>65.02</v>
      </c>
      <c r="G253">
        <v>77.3</v>
      </c>
      <c r="H253">
        <v>64.739999999999995</v>
      </c>
      <c r="I253" t="s">
        <v>291</v>
      </c>
    </row>
    <row r="254" spans="1:9" x14ac:dyDescent="0.25">
      <c r="A254" t="s">
        <v>727</v>
      </c>
      <c r="B254" t="s">
        <v>290</v>
      </c>
      <c r="C254">
        <v>1</v>
      </c>
      <c r="D254">
        <v>2022</v>
      </c>
      <c r="E254">
        <v>78.73</v>
      </c>
      <c r="F254">
        <v>87.95</v>
      </c>
      <c r="G254">
        <v>96.04</v>
      </c>
      <c r="H254">
        <v>76.75</v>
      </c>
      <c r="I254" t="s">
        <v>18</v>
      </c>
    </row>
    <row r="255" spans="1:9" x14ac:dyDescent="0.25">
      <c r="A255" t="s">
        <v>728</v>
      </c>
      <c r="B255" t="s">
        <v>299</v>
      </c>
      <c r="C255">
        <v>1</v>
      </c>
      <c r="D255">
        <v>1997</v>
      </c>
      <c r="E255">
        <v>1.1399999999999999</v>
      </c>
      <c r="F255">
        <v>1.1399999999999999</v>
      </c>
      <c r="G255">
        <v>1.1399999999999999</v>
      </c>
      <c r="H255">
        <v>1.1399999999999999</v>
      </c>
      <c r="I255" t="s">
        <v>249</v>
      </c>
    </row>
    <row r="256" spans="1:9" x14ac:dyDescent="0.25">
      <c r="A256" t="s">
        <v>729</v>
      </c>
      <c r="B256" t="s">
        <v>299</v>
      </c>
      <c r="C256">
        <v>1</v>
      </c>
      <c r="D256">
        <v>1999</v>
      </c>
      <c r="E256">
        <v>0.83</v>
      </c>
      <c r="F256">
        <v>0.82</v>
      </c>
      <c r="G256">
        <v>0.83</v>
      </c>
      <c r="H256">
        <v>0.82</v>
      </c>
      <c r="I256" t="s">
        <v>317</v>
      </c>
    </row>
    <row r="257" spans="1:9" x14ac:dyDescent="0.25">
      <c r="A257" t="s">
        <v>730</v>
      </c>
      <c r="B257" t="s">
        <v>299</v>
      </c>
      <c r="C257">
        <v>1</v>
      </c>
      <c r="D257">
        <v>2006</v>
      </c>
      <c r="E257">
        <v>2.06</v>
      </c>
      <c r="F257">
        <v>1.63</v>
      </c>
      <c r="G257">
        <v>2.13</v>
      </c>
      <c r="H257">
        <v>1.6</v>
      </c>
      <c r="I257" t="s">
        <v>316</v>
      </c>
    </row>
    <row r="258" spans="1:9" x14ac:dyDescent="0.25">
      <c r="A258" t="s">
        <v>731</v>
      </c>
      <c r="B258" t="s">
        <v>299</v>
      </c>
      <c r="C258">
        <v>1</v>
      </c>
      <c r="D258">
        <v>2007</v>
      </c>
      <c r="E258">
        <v>3.26</v>
      </c>
      <c r="F258">
        <v>3.4</v>
      </c>
      <c r="G258">
        <v>3.73</v>
      </c>
      <c r="H258">
        <v>3.19</v>
      </c>
      <c r="I258" t="s">
        <v>315</v>
      </c>
    </row>
    <row r="259" spans="1:9" x14ac:dyDescent="0.25">
      <c r="A259" t="s">
        <v>732</v>
      </c>
      <c r="B259" t="s">
        <v>299</v>
      </c>
      <c r="C259">
        <v>1</v>
      </c>
      <c r="D259">
        <v>2008</v>
      </c>
      <c r="E259">
        <v>3.05</v>
      </c>
      <c r="F259">
        <v>3.97</v>
      </c>
      <c r="G259">
        <v>4</v>
      </c>
      <c r="H259">
        <v>2.95</v>
      </c>
      <c r="I259" t="s">
        <v>314</v>
      </c>
    </row>
    <row r="260" spans="1:9" x14ac:dyDescent="0.25">
      <c r="A260" t="s">
        <v>733</v>
      </c>
      <c r="B260" t="s">
        <v>299</v>
      </c>
      <c r="C260">
        <v>1</v>
      </c>
      <c r="D260">
        <v>2009</v>
      </c>
      <c r="E260">
        <v>1.63</v>
      </c>
      <c r="F260">
        <v>1.81</v>
      </c>
      <c r="G260">
        <v>2.0499999999999998</v>
      </c>
      <c r="H260">
        <v>1.61</v>
      </c>
      <c r="I260" t="s">
        <v>313</v>
      </c>
    </row>
    <row r="261" spans="1:9" x14ac:dyDescent="0.25">
      <c r="A261" t="s">
        <v>734</v>
      </c>
      <c r="B261" t="s">
        <v>299</v>
      </c>
      <c r="C261">
        <v>1</v>
      </c>
      <c r="D261">
        <v>2010</v>
      </c>
      <c r="E261">
        <v>4.2</v>
      </c>
      <c r="F261">
        <v>4.67</v>
      </c>
      <c r="G261">
        <v>4.7699999999999996</v>
      </c>
      <c r="H261">
        <v>4.01</v>
      </c>
      <c r="I261" t="s">
        <v>312</v>
      </c>
    </row>
    <row r="262" spans="1:9" x14ac:dyDescent="0.25">
      <c r="A262" t="s">
        <v>735</v>
      </c>
      <c r="B262" t="s">
        <v>299</v>
      </c>
      <c r="C262">
        <v>1</v>
      </c>
      <c r="D262">
        <v>2011</v>
      </c>
      <c r="E262">
        <v>5.82</v>
      </c>
      <c r="F262">
        <v>6.79</v>
      </c>
      <c r="G262">
        <v>6.96</v>
      </c>
      <c r="H262">
        <v>5.68</v>
      </c>
      <c r="I262" t="s">
        <v>311</v>
      </c>
    </row>
    <row r="263" spans="1:9" x14ac:dyDescent="0.25">
      <c r="A263" t="s">
        <v>736</v>
      </c>
      <c r="B263" t="s">
        <v>299</v>
      </c>
      <c r="C263">
        <v>1</v>
      </c>
      <c r="D263">
        <v>2012</v>
      </c>
      <c r="E263">
        <v>7.35</v>
      </c>
      <c r="F263">
        <v>6.03</v>
      </c>
      <c r="G263">
        <v>7.57</v>
      </c>
      <c r="H263">
        <v>6.03</v>
      </c>
      <c r="I263" t="s">
        <v>310</v>
      </c>
    </row>
    <row r="264" spans="1:9" x14ac:dyDescent="0.25">
      <c r="A264" t="s">
        <v>737</v>
      </c>
      <c r="B264" t="s">
        <v>299</v>
      </c>
      <c r="C264">
        <v>1</v>
      </c>
      <c r="D264">
        <v>2013</v>
      </c>
      <c r="E264">
        <v>10.25</v>
      </c>
      <c r="F264">
        <v>10.33</v>
      </c>
      <c r="G264">
        <v>10.45</v>
      </c>
      <c r="H264">
        <v>9.85</v>
      </c>
      <c r="I264" t="s">
        <v>309</v>
      </c>
    </row>
    <row r="265" spans="1:9" x14ac:dyDescent="0.25">
      <c r="A265" t="s">
        <v>738</v>
      </c>
      <c r="B265" t="s">
        <v>299</v>
      </c>
      <c r="C265">
        <v>1</v>
      </c>
      <c r="D265">
        <v>2014</v>
      </c>
      <c r="E265">
        <v>7.33</v>
      </c>
      <c r="F265">
        <v>8.07</v>
      </c>
      <c r="G265">
        <v>8.17</v>
      </c>
      <c r="H265">
        <v>7.21</v>
      </c>
      <c r="I265" t="s">
        <v>308</v>
      </c>
    </row>
    <row r="266" spans="1:9" x14ac:dyDescent="0.25">
      <c r="A266" t="s">
        <v>739</v>
      </c>
      <c r="B266" t="s">
        <v>299</v>
      </c>
      <c r="C266">
        <v>1</v>
      </c>
      <c r="D266">
        <v>2015</v>
      </c>
      <c r="E266">
        <v>9.52</v>
      </c>
      <c r="F266">
        <v>10.210000000000001</v>
      </c>
      <c r="G266">
        <v>10.35</v>
      </c>
      <c r="H266">
        <v>9.4499999999999993</v>
      </c>
      <c r="I266" t="s">
        <v>307</v>
      </c>
    </row>
    <row r="267" spans="1:9" x14ac:dyDescent="0.25">
      <c r="A267" t="s">
        <v>740</v>
      </c>
      <c r="B267" t="s">
        <v>299</v>
      </c>
      <c r="C267">
        <v>1</v>
      </c>
      <c r="D267">
        <v>2016</v>
      </c>
      <c r="E267">
        <v>12.34</v>
      </c>
      <c r="F267">
        <v>11.66</v>
      </c>
      <c r="G267">
        <v>12.46</v>
      </c>
      <c r="H267">
        <v>11.09</v>
      </c>
      <c r="I267" t="s">
        <v>306</v>
      </c>
    </row>
    <row r="268" spans="1:9" x14ac:dyDescent="0.25">
      <c r="A268" t="s">
        <v>741</v>
      </c>
      <c r="B268" t="s">
        <v>299</v>
      </c>
      <c r="C268">
        <v>1</v>
      </c>
      <c r="D268">
        <v>2017</v>
      </c>
      <c r="E268">
        <v>16.96</v>
      </c>
      <c r="F268">
        <v>16.260000000000002</v>
      </c>
      <c r="G268">
        <v>17.77</v>
      </c>
      <c r="H268">
        <v>15.99</v>
      </c>
      <c r="I268" t="s">
        <v>305</v>
      </c>
    </row>
    <row r="269" spans="1:9" x14ac:dyDescent="0.25">
      <c r="A269" t="s">
        <v>742</v>
      </c>
      <c r="B269" t="s">
        <v>299</v>
      </c>
      <c r="C269">
        <v>1</v>
      </c>
      <c r="D269">
        <v>2018</v>
      </c>
      <c r="E269">
        <v>29.98</v>
      </c>
      <c r="F269">
        <v>28.32</v>
      </c>
      <c r="G269">
        <v>30.4</v>
      </c>
      <c r="H269">
        <v>27.43</v>
      </c>
      <c r="I269" t="s">
        <v>304</v>
      </c>
    </row>
    <row r="270" spans="1:9" x14ac:dyDescent="0.25">
      <c r="A270" t="s">
        <v>743</v>
      </c>
      <c r="B270" t="s">
        <v>299</v>
      </c>
      <c r="C270">
        <v>1</v>
      </c>
      <c r="D270">
        <v>2019</v>
      </c>
      <c r="E270">
        <v>36.53</v>
      </c>
      <c r="F270">
        <v>33.72</v>
      </c>
      <c r="G270">
        <v>37.119999999999997</v>
      </c>
      <c r="H270">
        <v>32.159999999999997</v>
      </c>
      <c r="I270" t="s">
        <v>303</v>
      </c>
    </row>
    <row r="271" spans="1:9" x14ac:dyDescent="0.25">
      <c r="A271" t="s">
        <v>744</v>
      </c>
      <c r="B271" t="s">
        <v>299</v>
      </c>
      <c r="C271">
        <v>1</v>
      </c>
      <c r="D271">
        <v>2020</v>
      </c>
      <c r="E271">
        <v>51.38</v>
      </c>
      <c r="F271">
        <v>50.73</v>
      </c>
      <c r="G271">
        <v>54.47</v>
      </c>
      <c r="H271">
        <v>50.24</v>
      </c>
      <c r="I271" t="s">
        <v>302</v>
      </c>
    </row>
    <row r="272" spans="1:9" x14ac:dyDescent="0.25">
      <c r="A272" t="s">
        <v>745</v>
      </c>
      <c r="B272" t="s">
        <v>299</v>
      </c>
      <c r="C272">
        <v>1</v>
      </c>
      <c r="D272">
        <v>2021</v>
      </c>
      <c r="E272">
        <v>37.380000000000003</v>
      </c>
      <c r="F272">
        <v>39.630000000000003</v>
      </c>
      <c r="G272">
        <v>40.06</v>
      </c>
      <c r="H272">
        <v>35.08</v>
      </c>
      <c r="I272" t="s">
        <v>301</v>
      </c>
    </row>
    <row r="273" spans="1:9" x14ac:dyDescent="0.25">
      <c r="A273" t="s">
        <v>746</v>
      </c>
      <c r="B273" t="s">
        <v>299</v>
      </c>
      <c r="C273">
        <v>1</v>
      </c>
      <c r="D273">
        <v>2022</v>
      </c>
      <c r="E273">
        <v>28.12</v>
      </c>
      <c r="F273">
        <v>24.45</v>
      </c>
      <c r="G273">
        <v>28.89</v>
      </c>
      <c r="H273">
        <v>21.44</v>
      </c>
      <c r="I273" t="s">
        <v>300</v>
      </c>
    </row>
    <row r="274" spans="1:9" x14ac:dyDescent="0.25">
      <c r="A274" t="s">
        <v>747</v>
      </c>
      <c r="B274" t="s">
        <v>318</v>
      </c>
      <c r="C274">
        <v>1</v>
      </c>
      <c r="D274">
        <v>2012</v>
      </c>
      <c r="E274">
        <v>6.99</v>
      </c>
      <c r="F274">
        <v>7.01</v>
      </c>
      <c r="G274">
        <v>7.01</v>
      </c>
      <c r="H274">
        <v>6.97</v>
      </c>
      <c r="I274" t="s">
        <v>325</v>
      </c>
    </row>
    <row r="275" spans="1:9" x14ac:dyDescent="0.25">
      <c r="A275" t="s">
        <v>748</v>
      </c>
      <c r="B275" t="s">
        <v>318</v>
      </c>
      <c r="C275">
        <v>1</v>
      </c>
      <c r="D275">
        <v>2014</v>
      </c>
      <c r="E275">
        <v>9.25</v>
      </c>
      <c r="F275">
        <v>9.4</v>
      </c>
      <c r="G275">
        <v>9.4</v>
      </c>
      <c r="H275">
        <v>9.08</v>
      </c>
      <c r="I275" t="s">
        <v>322</v>
      </c>
    </row>
    <row r="276" spans="1:9" x14ac:dyDescent="0.25">
      <c r="A276" t="s">
        <v>749</v>
      </c>
      <c r="B276" t="s">
        <v>318</v>
      </c>
      <c r="C276">
        <v>1</v>
      </c>
      <c r="D276">
        <v>2015</v>
      </c>
      <c r="E276">
        <v>9.86</v>
      </c>
      <c r="F276">
        <v>10.6</v>
      </c>
      <c r="G276">
        <v>10.7</v>
      </c>
      <c r="H276">
        <v>9.8000000000000007</v>
      </c>
      <c r="I276" t="s">
        <v>298</v>
      </c>
    </row>
    <row r="277" spans="1:9" x14ac:dyDescent="0.25">
      <c r="A277" t="s">
        <v>750</v>
      </c>
      <c r="B277" t="s">
        <v>318</v>
      </c>
      <c r="C277">
        <v>1</v>
      </c>
      <c r="D277">
        <v>2016</v>
      </c>
      <c r="E277">
        <v>21.66</v>
      </c>
      <c r="F277">
        <v>20.68</v>
      </c>
      <c r="G277">
        <v>21.72</v>
      </c>
      <c r="H277">
        <v>20.27</v>
      </c>
      <c r="I277" t="s">
        <v>324</v>
      </c>
    </row>
    <row r="278" spans="1:9" x14ac:dyDescent="0.25">
      <c r="A278" t="s">
        <v>751</v>
      </c>
      <c r="B278" t="s">
        <v>318</v>
      </c>
      <c r="C278">
        <v>1</v>
      </c>
      <c r="D278">
        <v>2017</v>
      </c>
      <c r="E278">
        <v>17.3</v>
      </c>
      <c r="F278">
        <v>17.54</v>
      </c>
      <c r="G278">
        <v>17.73</v>
      </c>
      <c r="H278">
        <v>17.21</v>
      </c>
      <c r="I278" t="s">
        <v>293</v>
      </c>
    </row>
    <row r="279" spans="1:9" x14ac:dyDescent="0.25">
      <c r="A279" t="s">
        <v>752</v>
      </c>
      <c r="B279" t="s">
        <v>318</v>
      </c>
      <c r="C279">
        <v>1</v>
      </c>
      <c r="D279">
        <v>2018</v>
      </c>
      <c r="E279">
        <v>25.33</v>
      </c>
      <c r="F279">
        <v>26.02</v>
      </c>
      <c r="G279">
        <v>26.61</v>
      </c>
      <c r="H279">
        <v>25.22</v>
      </c>
      <c r="I279" t="s">
        <v>323</v>
      </c>
    </row>
    <row r="280" spans="1:9" x14ac:dyDescent="0.25">
      <c r="A280" t="s">
        <v>753</v>
      </c>
      <c r="B280" t="s">
        <v>318</v>
      </c>
      <c r="C280">
        <v>1</v>
      </c>
      <c r="D280">
        <v>2019</v>
      </c>
      <c r="E280">
        <v>31.55</v>
      </c>
      <c r="F280">
        <v>32.159999999999997</v>
      </c>
      <c r="G280">
        <v>33.4</v>
      </c>
      <c r="H280">
        <v>31.1</v>
      </c>
      <c r="I280" t="s">
        <v>321</v>
      </c>
    </row>
    <row r="281" spans="1:9" x14ac:dyDescent="0.25">
      <c r="A281" t="s">
        <v>754</v>
      </c>
      <c r="B281" t="s">
        <v>318</v>
      </c>
      <c r="C281">
        <v>1</v>
      </c>
      <c r="D281">
        <v>2020</v>
      </c>
      <c r="E281">
        <v>44.56</v>
      </c>
      <c r="F281">
        <v>38.9</v>
      </c>
      <c r="G281">
        <v>44.56</v>
      </c>
      <c r="H281">
        <v>38.9</v>
      </c>
      <c r="I281" t="s">
        <v>185</v>
      </c>
    </row>
    <row r="282" spans="1:9" x14ac:dyDescent="0.25">
      <c r="A282" t="s">
        <v>755</v>
      </c>
      <c r="B282" t="s">
        <v>318</v>
      </c>
      <c r="C282">
        <v>1</v>
      </c>
      <c r="D282">
        <v>2021</v>
      </c>
      <c r="E282">
        <v>56.51</v>
      </c>
      <c r="F282">
        <v>54.56</v>
      </c>
      <c r="G282">
        <v>59.03</v>
      </c>
      <c r="H282">
        <v>53.76</v>
      </c>
      <c r="I282" t="s">
        <v>320</v>
      </c>
    </row>
    <row r="283" spans="1:9" x14ac:dyDescent="0.25">
      <c r="A283" t="s">
        <v>756</v>
      </c>
      <c r="B283" t="s">
        <v>318</v>
      </c>
      <c r="C283">
        <v>1</v>
      </c>
      <c r="D283">
        <v>2022</v>
      </c>
      <c r="E283">
        <v>68.73</v>
      </c>
      <c r="F283">
        <v>75.2</v>
      </c>
      <c r="G283">
        <v>77.42</v>
      </c>
      <c r="H283">
        <v>65.239999999999995</v>
      </c>
      <c r="I283" t="s">
        <v>319</v>
      </c>
    </row>
    <row r="284" spans="1:9" x14ac:dyDescent="0.25">
      <c r="A284" t="s">
        <v>757</v>
      </c>
      <c r="B284" t="s">
        <v>326</v>
      </c>
      <c r="C284">
        <v>1</v>
      </c>
      <c r="D284">
        <v>2012</v>
      </c>
      <c r="E284">
        <v>1.75</v>
      </c>
      <c r="F284">
        <v>1.75</v>
      </c>
      <c r="G284">
        <v>1.75</v>
      </c>
      <c r="H284">
        <v>1.74</v>
      </c>
      <c r="I284" t="s">
        <v>334</v>
      </c>
    </row>
    <row r="285" spans="1:9" x14ac:dyDescent="0.25">
      <c r="A285" t="s">
        <v>758</v>
      </c>
      <c r="B285" t="s">
        <v>326</v>
      </c>
      <c r="C285">
        <v>1</v>
      </c>
      <c r="D285">
        <v>2013</v>
      </c>
      <c r="E285">
        <v>1.92</v>
      </c>
      <c r="F285">
        <v>1.94</v>
      </c>
      <c r="G285">
        <v>1.99</v>
      </c>
      <c r="H285">
        <v>1.87</v>
      </c>
      <c r="I285" t="s">
        <v>333</v>
      </c>
    </row>
    <row r="286" spans="1:9" x14ac:dyDescent="0.25">
      <c r="A286" t="s">
        <v>759</v>
      </c>
      <c r="B286" t="s">
        <v>326</v>
      </c>
      <c r="C286">
        <v>1</v>
      </c>
      <c r="D286">
        <v>2014</v>
      </c>
      <c r="E286">
        <v>3.24</v>
      </c>
      <c r="F286">
        <v>3.23</v>
      </c>
      <c r="G286">
        <v>3.24</v>
      </c>
      <c r="H286">
        <v>3.01</v>
      </c>
      <c r="I286" t="s">
        <v>331</v>
      </c>
    </row>
    <row r="287" spans="1:9" x14ac:dyDescent="0.25">
      <c r="A287" t="s">
        <v>760</v>
      </c>
      <c r="B287" t="s">
        <v>326</v>
      </c>
      <c r="C287">
        <v>1</v>
      </c>
      <c r="D287">
        <v>2015</v>
      </c>
      <c r="E287">
        <v>4.1100000000000003</v>
      </c>
      <c r="F287">
        <v>4.67</v>
      </c>
      <c r="G287">
        <v>5.17</v>
      </c>
      <c r="H287">
        <v>3.99</v>
      </c>
      <c r="I287" t="s">
        <v>230</v>
      </c>
    </row>
    <row r="288" spans="1:9" x14ac:dyDescent="0.25">
      <c r="A288" t="s">
        <v>761</v>
      </c>
      <c r="B288" t="s">
        <v>326</v>
      </c>
      <c r="C288">
        <v>1</v>
      </c>
      <c r="D288">
        <v>2016</v>
      </c>
      <c r="E288">
        <v>8.36</v>
      </c>
      <c r="F288">
        <v>8.2899999999999991</v>
      </c>
      <c r="G288">
        <v>8.36</v>
      </c>
      <c r="H288">
        <v>7.73</v>
      </c>
      <c r="I288" t="s">
        <v>213</v>
      </c>
    </row>
    <row r="289" spans="1:9" x14ac:dyDescent="0.25">
      <c r="A289" t="s">
        <v>762</v>
      </c>
      <c r="B289" t="s">
        <v>326</v>
      </c>
      <c r="C289">
        <v>1</v>
      </c>
      <c r="D289">
        <v>2017</v>
      </c>
      <c r="E289">
        <v>7.91</v>
      </c>
      <c r="F289">
        <v>7.92</v>
      </c>
      <c r="G289">
        <v>8.0399999999999991</v>
      </c>
      <c r="H289">
        <v>7.69</v>
      </c>
      <c r="I289" t="s">
        <v>332</v>
      </c>
    </row>
    <row r="290" spans="1:9" x14ac:dyDescent="0.25">
      <c r="A290" t="s">
        <v>763</v>
      </c>
      <c r="B290" t="s">
        <v>326</v>
      </c>
      <c r="C290">
        <v>1</v>
      </c>
      <c r="D290">
        <v>2018</v>
      </c>
      <c r="E290">
        <v>11.96</v>
      </c>
      <c r="F290">
        <v>11.15</v>
      </c>
      <c r="G290">
        <v>12.02</v>
      </c>
      <c r="H290">
        <v>11.15</v>
      </c>
      <c r="I290" t="s">
        <v>330</v>
      </c>
    </row>
    <row r="291" spans="1:9" x14ac:dyDescent="0.25">
      <c r="A291" t="s">
        <v>764</v>
      </c>
      <c r="B291" t="s">
        <v>326</v>
      </c>
      <c r="C291">
        <v>1</v>
      </c>
      <c r="D291">
        <v>2019</v>
      </c>
      <c r="E291">
        <v>15.61</v>
      </c>
      <c r="F291">
        <v>15.55</v>
      </c>
      <c r="G291">
        <v>16.37</v>
      </c>
      <c r="H291">
        <v>14.99</v>
      </c>
      <c r="I291" t="s">
        <v>329</v>
      </c>
    </row>
    <row r="292" spans="1:9" x14ac:dyDescent="0.25">
      <c r="A292" t="s">
        <v>765</v>
      </c>
      <c r="B292" t="s">
        <v>326</v>
      </c>
      <c r="C292">
        <v>1</v>
      </c>
      <c r="D292">
        <v>2020</v>
      </c>
      <c r="E292">
        <v>29.98</v>
      </c>
      <c r="F292">
        <v>26.42</v>
      </c>
      <c r="G292">
        <v>30.41</v>
      </c>
      <c r="H292">
        <v>26.23</v>
      </c>
      <c r="I292" t="s">
        <v>18</v>
      </c>
    </row>
    <row r="293" spans="1:9" x14ac:dyDescent="0.25">
      <c r="A293" t="s">
        <v>766</v>
      </c>
      <c r="B293" t="s">
        <v>326</v>
      </c>
      <c r="C293">
        <v>1</v>
      </c>
      <c r="D293">
        <v>2021</v>
      </c>
      <c r="E293">
        <v>53.04</v>
      </c>
      <c r="F293">
        <v>48.09</v>
      </c>
      <c r="G293">
        <v>54.85</v>
      </c>
      <c r="H293">
        <v>46.02</v>
      </c>
      <c r="I293" t="s">
        <v>328</v>
      </c>
    </row>
    <row r="294" spans="1:9" x14ac:dyDescent="0.25">
      <c r="A294" t="s">
        <v>767</v>
      </c>
      <c r="B294" t="s">
        <v>326</v>
      </c>
      <c r="C294">
        <v>1</v>
      </c>
      <c r="D294">
        <v>2022</v>
      </c>
      <c r="E294">
        <v>68.650000000000006</v>
      </c>
      <c r="F294">
        <v>78.8</v>
      </c>
      <c r="G294">
        <v>79.8</v>
      </c>
      <c r="H294">
        <v>63.55</v>
      </c>
      <c r="I294" t="s">
        <v>327</v>
      </c>
    </row>
    <row r="295" spans="1:9" x14ac:dyDescent="0.25">
      <c r="A295" t="s">
        <v>768</v>
      </c>
      <c r="B295" t="s">
        <v>335</v>
      </c>
      <c r="C295">
        <v>1</v>
      </c>
      <c r="D295">
        <v>2014</v>
      </c>
      <c r="E295">
        <v>2.8</v>
      </c>
      <c r="F295">
        <v>2.8</v>
      </c>
      <c r="G295">
        <v>2.8</v>
      </c>
      <c r="H295">
        <v>2.8</v>
      </c>
      <c r="I295" t="s">
        <v>339</v>
      </c>
    </row>
    <row r="296" spans="1:9" x14ac:dyDescent="0.25">
      <c r="A296" t="s">
        <v>769</v>
      </c>
      <c r="B296" t="s">
        <v>335</v>
      </c>
      <c r="C296">
        <v>1</v>
      </c>
      <c r="D296">
        <v>2015</v>
      </c>
      <c r="E296">
        <v>3.23</v>
      </c>
      <c r="F296">
        <v>2.44</v>
      </c>
      <c r="G296">
        <v>3.23</v>
      </c>
      <c r="H296">
        <v>2.4</v>
      </c>
      <c r="I296" t="s">
        <v>342</v>
      </c>
    </row>
    <row r="297" spans="1:9" x14ac:dyDescent="0.25">
      <c r="A297" t="s">
        <v>770</v>
      </c>
      <c r="B297" t="s">
        <v>335</v>
      </c>
      <c r="C297">
        <v>1</v>
      </c>
      <c r="D297">
        <v>2016</v>
      </c>
      <c r="E297">
        <v>7.35</v>
      </c>
      <c r="F297">
        <v>8.75</v>
      </c>
      <c r="G297">
        <v>8.9499999999999993</v>
      </c>
      <c r="H297">
        <v>7.35</v>
      </c>
      <c r="I297" t="s">
        <v>341</v>
      </c>
    </row>
    <row r="298" spans="1:9" x14ac:dyDescent="0.25">
      <c r="A298" t="s">
        <v>771</v>
      </c>
      <c r="B298" t="s">
        <v>335</v>
      </c>
      <c r="C298">
        <v>1</v>
      </c>
      <c r="D298">
        <v>2017</v>
      </c>
      <c r="E298">
        <v>8.73</v>
      </c>
      <c r="F298">
        <v>8.33</v>
      </c>
      <c r="G298">
        <v>8.86</v>
      </c>
      <c r="H298">
        <v>8.33</v>
      </c>
      <c r="I298" t="s">
        <v>340</v>
      </c>
    </row>
    <row r="299" spans="1:9" x14ac:dyDescent="0.25">
      <c r="A299" t="s">
        <v>772</v>
      </c>
      <c r="B299" t="s">
        <v>335</v>
      </c>
      <c r="C299">
        <v>1</v>
      </c>
      <c r="D299">
        <v>2018</v>
      </c>
      <c r="E299">
        <v>17.559999999999999</v>
      </c>
      <c r="F299">
        <v>12.99</v>
      </c>
      <c r="G299">
        <v>18.07</v>
      </c>
      <c r="H299">
        <v>12.99</v>
      </c>
      <c r="I299" t="s">
        <v>143</v>
      </c>
    </row>
    <row r="300" spans="1:9" x14ac:dyDescent="0.25">
      <c r="A300" t="s">
        <v>773</v>
      </c>
      <c r="B300" t="s">
        <v>335</v>
      </c>
      <c r="C300">
        <v>1</v>
      </c>
      <c r="D300">
        <v>2019</v>
      </c>
      <c r="E300">
        <v>24.78</v>
      </c>
      <c r="F300">
        <v>20.32</v>
      </c>
      <c r="G300">
        <v>26.43</v>
      </c>
      <c r="H300">
        <v>20.32</v>
      </c>
      <c r="I300" t="s">
        <v>338</v>
      </c>
    </row>
    <row r="301" spans="1:9" x14ac:dyDescent="0.25">
      <c r="A301" t="s">
        <v>774</v>
      </c>
      <c r="B301" t="s">
        <v>335</v>
      </c>
      <c r="C301">
        <v>1</v>
      </c>
      <c r="D301">
        <v>2020</v>
      </c>
      <c r="E301">
        <v>29.2</v>
      </c>
      <c r="F301">
        <v>26.61</v>
      </c>
      <c r="G301">
        <v>29.89</v>
      </c>
      <c r="H301">
        <v>26.42</v>
      </c>
      <c r="I301" t="s">
        <v>337</v>
      </c>
    </row>
    <row r="302" spans="1:9" x14ac:dyDescent="0.25">
      <c r="A302" t="s">
        <v>775</v>
      </c>
      <c r="B302" t="s">
        <v>335</v>
      </c>
      <c r="C302">
        <v>1</v>
      </c>
      <c r="D302">
        <v>2021</v>
      </c>
      <c r="E302">
        <v>58.5</v>
      </c>
      <c r="F302">
        <v>54.75</v>
      </c>
      <c r="G302">
        <v>63.3</v>
      </c>
      <c r="H302">
        <v>51.98</v>
      </c>
      <c r="I302" t="s">
        <v>336</v>
      </c>
    </row>
    <row r="303" spans="1:9" x14ac:dyDescent="0.25">
      <c r="A303" t="s">
        <v>776</v>
      </c>
      <c r="B303" t="s">
        <v>335</v>
      </c>
      <c r="C303">
        <v>1</v>
      </c>
      <c r="D303">
        <v>2022</v>
      </c>
      <c r="E303">
        <v>45.39</v>
      </c>
      <c r="F303">
        <v>67.7</v>
      </c>
      <c r="G303">
        <v>68.650000000000006</v>
      </c>
      <c r="H303">
        <v>38.74</v>
      </c>
      <c r="I303" t="s">
        <v>233</v>
      </c>
    </row>
    <row r="304" spans="1:9" x14ac:dyDescent="0.25">
      <c r="A304" t="s">
        <v>777</v>
      </c>
      <c r="B304" t="s">
        <v>343</v>
      </c>
      <c r="C304">
        <v>1</v>
      </c>
      <c r="D304">
        <v>2013</v>
      </c>
      <c r="E304">
        <v>4.8099999999999996</v>
      </c>
      <c r="F304">
        <v>4.93</v>
      </c>
      <c r="G304">
        <v>5.04</v>
      </c>
      <c r="H304">
        <v>4.8099999999999996</v>
      </c>
      <c r="I304" t="s">
        <v>352</v>
      </c>
    </row>
    <row r="305" spans="1:9" x14ac:dyDescent="0.25">
      <c r="A305" t="s">
        <v>778</v>
      </c>
      <c r="B305" t="s">
        <v>343</v>
      </c>
      <c r="C305">
        <v>1</v>
      </c>
      <c r="D305">
        <v>2014</v>
      </c>
      <c r="E305">
        <v>8.1199999999999992</v>
      </c>
      <c r="F305">
        <v>8.61</v>
      </c>
      <c r="G305">
        <v>8.61</v>
      </c>
      <c r="H305">
        <v>7.97</v>
      </c>
      <c r="I305" t="s">
        <v>351</v>
      </c>
    </row>
    <row r="306" spans="1:9" x14ac:dyDescent="0.25">
      <c r="A306" t="s">
        <v>779</v>
      </c>
      <c r="B306" t="s">
        <v>343</v>
      </c>
      <c r="C306">
        <v>1</v>
      </c>
      <c r="D306">
        <v>2015</v>
      </c>
      <c r="E306">
        <v>11.88</v>
      </c>
      <c r="F306">
        <v>12.12</v>
      </c>
      <c r="G306">
        <v>12.19</v>
      </c>
      <c r="H306">
        <v>11.33</v>
      </c>
      <c r="I306" t="s">
        <v>350</v>
      </c>
    </row>
    <row r="307" spans="1:9" x14ac:dyDescent="0.25">
      <c r="A307" t="s">
        <v>780</v>
      </c>
      <c r="B307" t="s">
        <v>343</v>
      </c>
      <c r="C307">
        <v>1</v>
      </c>
      <c r="D307">
        <v>2016</v>
      </c>
      <c r="E307">
        <v>23.43</v>
      </c>
      <c r="F307">
        <v>23.56</v>
      </c>
      <c r="G307">
        <v>23.89</v>
      </c>
      <c r="H307">
        <v>22.1</v>
      </c>
      <c r="I307" t="s">
        <v>348</v>
      </c>
    </row>
    <row r="308" spans="1:9" x14ac:dyDescent="0.25">
      <c r="A308" t="s">
        <v>781</v>
      </c>
      <c r="B308" t="s">
        <v>343</v>
      </c>
      <c r="C308">
        <v>1</v>
      </c>
      <c r="D308">
        <v>2018</v>
      </c>
      <c r="E308">
        <v>21.19</v>
      </c>
      <c r="F308">
        <v>19.760000000000002</v>
      </c>
      <c r="G308">
        <v>21.19</v>
      </c>
      <c r="H308">
        <v>19.760000000000002</v>
      </c>
      <c r="I308" t="s">
        <v>340</v>
      </c>
    </row>
    <row r="309" spans="1:9" x14ac:dyDescent="0.25">
      <c r="A309" t="s">
        <v>782</v>
      </c>
      <c r="B309" t="s">
        <v>343</v>
      </c>
      <c r="C309">
        <v>1</v>
      </c>
      <c r="D309">
        <v>2019</v>
      </c>
      <c r="E309">
        <v>28.92</v>
      </c>
      <c r="F309">
        <v>27.69</v>
      </c>
      <c r="G309">
        <v>29.92</v>
      </c>
      <c r="H309">
        <v>27.54</v>
      </c>
      <c r="I309" t="s">
        <v>347</v>
      </c>
    </row>
    <row r="310" spans="1:9" x14ac:dyDescent="0.25">
      <c r="A310" t="s">
        <v>783</v>
      </c>
      <c r="B310" t="s">
        <v>343</v>
      </c>
      <c r="C310">
        <v>1</v>
      </c>
      <c r="D310">
        <v>2020</v>
      </c>
      <c r="E310">
        <v>41.69</v>
      </c>
      <c r="F310">
        <v>40.630000000000003</v>
      </c>
      <c r="G310">
        <v>43.4</v>
      </c>
      <c r="H310">
        <v>40.630000000000003</v>
      </c>
      <c r="I310" t="s">
        <v>346</v>
      </c>
    </row>
    <row r="311" spans="1:9" x14ac:dyDescent="0.25">
      <c r="A311" t="s">
        <v>784</v>
      </c>
      <c r="B311" t="s">
        <v>343</v>
      </c>
      <c r="C311">
        <v>1</v>
      </c>
      <c r="D311">
        <v>2021</v>
      </c>
      <c r="E311">
        <v>73.510000000000005</v>
      </c>
      <c r="F311">
        <v>73.47</v>
      </c>
      <c r="G311">
        <v>82.97</v>
      </c>
      <c r="H311">
        <v>70.44</v>
      </c>
      <c r="I311" t="s">
        <v>345</v>
      </c>
    </row>
    <row r="312" spans="1:9" x14ac:dyDescent="0.25">
      <c r="A312" t="s">
        <v>785</v>
      </c>
      <c r="B312" t="s">
        <v>343</v>
      </c>
      <c r="C312">
        <v>1</v>
      </c>
      <c r="D312">
        <v>2022</v>
      </c>
      <c r="E312">
        <v>80.150000000000006</v>
      </c>
      <c r="F312">
        <v>94.92</v>
      </c>
      <c r="G312">
        <v>95.15</v>
      </c>
      <c r="H312">
        <v>75.88</v>
      </c>
      <c r="I312" t="s">
        <v>344</v>
      </c>
    </row>
    <row r="313" spans="1:9" x14ac:dyDescent="0.25">
      <c r="A313" t="s">
        <v>786</v>
      </c>
      <c r="B313" t="s">
        <v>353</v>
      </c>
      <c r="C313">
        <v>1</v>
      </c>
      <c r="D313">
        <v>2020</v>
      </c>
      <c r="E313">
        <v>5.43</v>
      </c>
      <c r="F313">
        <v>4.96</v>
      </c>
      <c r="G313">
        <v>5.51</v>
      </c>
      <c r="H313">
        <v>4.96</v>
      </c>
      <c r="I313" t="s">
        <v>355</v>
      </c>
    </row>
    <row r="314" spans="1:9" x14ac:dyDescent="0.25">
      <c r="A314" t="s">
        <v>787</v>
      </c>
      <c r="B314" t="s">
        <v>353</v>
      </c>
      <c r="C314">
        <v>1</v>
      </c>
      <c r="D314">
        <v>2021</v>
      </c>
      <c r="E314">
        <v>14.91</v>
      </c>
      <c r="F314">
        <v>14.28</v>
      </c>
      <c r="G314">
        <v>15.96</v>
      </c>
      <c r="H314">
        <v>13.94</v>
      </c>
      <c r="I314" t="s">
        <v>275</v>
      </c>
    </row>
    <row r="315" spans="1:9" x14ac:dyDescent="0.25">
      <c r="A315" t="s">
        <v>788</v>
      </c>
      <c r="B315" t="s">
        <v>353</v>
      </c>
      <c r="C315">
        <v>1</v>
      </c>
      <c r="D315">
        <v>2022</v>
      </c>
      <c r="E315">
        <v>27.01</v>
      </c>
      <c r="F315">
        <v>34.85</v>
      </c>
      <c r="G315">
        <v>36.33</v>
      </c>
      <c r="H315">
        <v>23.95</v>
      </c>
      <c r="I315" t="s">
        <v>354</v>
      </c>
    </row>
    <row r="316" spans="1:9" x14ac:dyDescent="0.25">
      <c r="A316" t="s">
        <v>789</v>
      </c>
      <c r="B316" t="s">
        <v>356</v>
      </c>
      <c r="C316">
        <v>1</v>
      </c>
      <c r="D316">
        <v>2007</v>
      </c>
      <c r="E316">
        <v>1.78</v>
      </c>
      <c r="F316">
        <v>1.56</v>
      </c>
      <c r="G316">
        <v>1.81</v>
      </c>
      <c r="H316">
        <v>1.55</v>
      </c>
      <c r="I316" t="s">
        <v>369</v>
      </c>
    </row>
    <row r="317" spans="1:9" x14ac:dyDescent="0.25">
      <c r="A317" t="s">
        <v>790</v>
      </c>
      <c r="B317" t="s">
        <v>356</v>
      </c>
      <c r="C317">
        <v>1</v>
      </c>
      <c r="D317">
        <v>2008</v>
      </c>
      <c r="E317">
        <v>1.75</v>
      </c>
      <c r="F317">
        <v>1.98</v>
      </c>
      <c r="G317">
        <v>2.11</v>
      </c>
      <c r="H317">
        <v>1.61</v>
      </c>
      <c r="I317" t="s">
        <v>367</v>
      </c>
    </row>
    <row r="318" spans="1:9" x14ac:dyDescent="0.25">
      <c r="A318" t="s">
        <v>791</v>
      </c>
      <c r="B318" t="s">
        <v>356</v>
      </c>
      <c r="C318">
        <v>1</v>
      </c>
      <c r="D318">
        <v>2009</v>
      </c>
      <c r="E318">
        <v>1.1100000000000001</v>
      </c>
      <c r="F318">
        <v>1.06</v>
      </c>
      <c r="G318">
        <v>1.29</v>
      </c>
      <c r="H318">
        <v>1.05</v>
      </c>
      <c r="I318" t="s">
        <v>95</v>
      </c>
    </row>
    <row r="319" spans="1:9" x14ac:dyDescent="0.25">
      <c r="A319" t="s">
        <v>792</v>
      </c>
      <c r="B319" t="s">
        <v>356</v>
      </c>
      <c r="C319">
        <v>1</v>
      </c>
      <c r="D319">
        <v>2010</v>
      </c>
      <c r="E319">
        <v>2.92</v>
      </c>
      <c r="F319">
        <v>3.22</v>
      </c>
      <c r="G319">
        <v>3.41</v>
      </c>
      <c r="H319">
        <v>2.84</v>
      </c>
      <c r="I319" t="s">
        <v>366</v>
      </c>
    </row>
    <row r="320" spans="1:9" x14ac:dyDescent="0.25">
      <c r="A320" t="s">
        <v>793</v>
      </c>
      <c r="B320" t="s">
        <v>356</v>
      </c>
      <c r="C320">
        <v>1</v>
      </c>
      <c r="D320">
        <v>2011</v>
      </c>
      <c r="E320">
        <v>5.26</v>
      </c>
      <c r="F320">
        <v>5.84</v>
      </c>
      <c r="G320">
        <v>6.12</v>
      </c>
      <c r="H320">
        <v>4.8899999999999997</v>
      </c>
      <c r="I320" t="s">
        <v>205</v>
      </c>
    </row>
    <row r="321" spans="1:9" x14ac:dyDescent="0.25">
      <c r="A321" t="s">
        <v>794</v>
      </c>
      <c r="B321" t="s">
        <v>356</v>
      </c>
      <c r="C321">
        <v>1</v>
      </c>
      <c r="D321">
        <v>2012</v>
      </c>
      <c r="E321">
        <v>6.98</v>
      </c>
      <c r="F321">
        <v>6.28</v>
      </c>
      <c r="G321">
        <v>7.04</v>
      </c>
      <c r="H321">
        <v>6.25</v>
      </c>
      <c r="I321" t="s">
        <v>359</v>
      </c>
    </row>
    <row r="322" spans="1:9" x14ac:dyDescent="0.25">
      <c r="A322" t="s">
        <v>795</v>
      </c>
      <c r="B322" t="s">
        <v>356</v>
      </c>
      <c r="C322">
        <v>1</v>
      </c>
      <c r="D322">
        <v>2013</v>
      </c>
      <c r="E322">
        <v>7.74</v>
      </c>
      <c r="F322">
        <v>8.23</v>
      </c>
      <c r="G322">
        <v>8.65</v>
      </c>
      <c r="H322">
        <v>7.36</v>
      </c>
      <c r="I322" t="s">
        <v>365</v>
      </c>
    </row>
    <row r="323" spans="1:9" x14ac:dyDescent="0.25">
      <c r="A323" t="s">
        <v>796</v>
      </c>
      <c r="B323" t="s">
        <v>356</v>
      </c>
      <c r="C323">
        <v>1</v>
      </c>
      <c r="D323">
        <v>2014</v>
      </c>
      <c r="E323">
        <v>7.12</v>
      </c>
      <c r="F323">
        <v>7.78</v>
      </c>
      <c r="G323">
        <v>7.9</v>
      </c>
      <c r="H323">
        <v>6.8</v>
      </c>
      <c r="I323" t="s">
        <v>196</v>
      </c>
    </row>
    <row r="324" spans="1:9" x14ac:dyDescent="0.25">
      <c r="A324" t="s">
        <v>797</v>
      </c>
      <c r="B324" t="s">
        <v>356</v>
      </c>
      <c r="C324">
        <v>1</v>
      </c>
      <c r="D324">
        <v>2015</v>
      </c>
      <c r="E324">
        <v>8.5500000000000007</v>
      </c>
      <c r="F324">
        <v>8.2100000000000009</v>
      </c>
      <c r="G324">
        <v>9.1199999999999992</v>
      </c>
      <c r="H324">
        <v>7.56</v>
      </c>
      <c r="I324" t="s">
        <v>364</v>
      </c>
    </row>
    <row r="325" spans="1:9" x14ac:dyDescent="0.25">
      <c r="A325" t="s">
        <v>798</v>
      </c>
      <c r="B325" t="s">
        <v>356</v>
      </c>
      <c r="C325">
        <v>1</v>
      </c>
      <c r="D325">
        <v>2016</v>
      </c>
      <c r="E325">
        <v>8.7100000000000009</v>
      </c>
      <c r="F325">
        <v>8.17</v>
      </c>
      <c r="G325">
        <v>8.7100000000000009</v>
      </c>
      <c r="H325">
        <v>7.67</v>
      </c>
      <c r="I325" t="s">
        <v>363</v>
      </c>
    </row>
    <row r="326" spans="1:9" x14ac:dyDescent="0.25">
      <c r="A326" t="s">
        <v>799</v>
      </c>
      <c r="B326" t="s">
        <v>356</v>
      </c>
      <c r="C326">
        <v>1</v>
      </c>
      <c r="D326">
        <v>2017</v>
      </c>
      <c r="E326">
        <v>9.9499999999999993</v>
      </c>
      <c r="F326">
        <v>11.2</v>
      </c>
      <c r="G326">
        <v>11.36</v>
      </c>
      <c r="H326">
        <v>9.84</v>
      </c>
      <c r="I326" t="s">
        <v>362</v>
      </c>
    </row>
    <row r="327" spans="1:9" x14ac:dyDescent="0.25">
      <c r="A327" t="s">
        <v>800</v>
      </c>
      <c r="B327" t="s">
        <v>356</v>
      </c>
      <c r="C327">
        <v>1</v>
      </c>
      <c r="D327">
        <v>2018</v>
      </c>
      <c r="E327">
        <v>15.37</v>
      </c>
      <c r="F327">
        <v>14.59</v>
      </c>
      <c r="G327">
        <v>16.12</v>
      </c>
      <c r="H327">
        <v>14.15</v>
      </c>
      <c r="I327" t="s">
        <v>361</v>
      </c>
    </row>
    <row r="328" spans="1:9" x14ac:dyDescent="0.25">
      <c r="A328" t="s">
        <v>801</v>
      </c>
      <c r="B328" t="s">
        <v>356</v>
      </c>
      <c r="C328">
        <v>1</v>
      </c>
      <c r="D328">
        <v>2019</v>
      </c>
      <c r="E328">
        <v>15.43</v>
      </c>
      <c r="F328">
        <v>12.85</v>
      </c>
      <c r="G328">
        <v>15.72</v>
      </c>
      <c r="H328">
        <v>12.85</v>
      </c>
      <c r="I328" t="s">
        <v>360</v>
      </c>
    </row>
    <row r="329" spans="1:9" x14ac:dyDescent="0.25">
      <c r="A329" t="s">
        <v>802</v>
      </c>
      <c r="B329" t="s">
        <v>356</v>
      </c>
      <c r="C329">
        <v>1</v>
      </c>
      <c r="D329">
        <v>2020</v>
      </c>
      <c r="E329">
        <v>17.04</v>
      </c>
      <c r="F329">
        <v>16.489999999999998</v>
      </c>
      <c r="G329">
        <v>17.8</v>
      </c>
      <c r="H329">
        <v>15.83</v>
      </c>
      <c r="I329" t="s">
        <v>197</v>
      </c>
    </row>
    <row r="330" spans="1:9" x14ac:dyDescent="0.25">
      <c r="A330" t="s">
        <v>803</v>
      </c>
      <c r="B330" t="s">
        <v>356</v>
      </c>
      <c r="C330">
        <v>1</v>
      </c>
      <c r="D330">
        <v>2021</v>
      </c>
      <c r="E330">
        <v>14.17</v>
      </c>
      <c r="F330">
        <v>14.7</v>
      </c>
      <c r="G330">
        <v>15.48</v>
      </c>
      <c r="H330">
        <v>14.02</v>
      </c>
      <c r="I330" t="s">
        <v>358</v>
      </c>
    </row>
    <row r="331" spans="1:9" x14ac:dyDescent="0.25">
      <c r="A331" t="s">
        <v>804</v>
      </c>
      <c r="B331" t="s">
        <v>356</v>
      </c>
      <c r="C331">
        <v>1</v>
      </c>
      <c r="D331">
        <v>2022</v>
      </c>
      <c r="E331">
        <v>12.48</v>
      </c>
      <c r="F331">
        <v>12.61</v>
      </c>
      <c r="G331">
        <v>12.84</v>
      </c>
      <c r="H331">
        <v>11.59</v>
      </c>
      <c r="I331" t="s">
        <v>357</v>
      </c>
    </row>
    <row r="332" spans="1:9" x14ac:dyDescent="0.25">
      <c r="A332" t="s">
        <v>805</v>
      </c>
      <c r="B332" t="s">
        <v>370</v>
      </c>
      <c r="C332">
        <v>1</v>
      </c>
      <c r="D332">
        <v>1997</v>
      </c>
      <c r="E332">
        <v>1.63</v>
      </c>
      <c r="F332">
        <v>1.28</v>
      </c>
      <c r="G332">
        <v>1.69</v>
      </c>
      <c r="H332">
        <v>1.28</v>
      </c>
      <c r="I332" t="s">
        <v>393</v>
      </c>
    </row>
    <row r="333" spans="1:9" x14ac:dyDescent="0.25">
      <c r="A333" t="s">
        <v>806</v>
      </c>
      <c r="B333" t="s">
        <v>370</v>
      </c>
      <c r="C333">
        <v>1</v>
      </c>
      <c r="D333">
        <v>1998</v>
      </c>
      <c r="E333">
        <v>1.9</v>
      </c>
      <c r="F333">
        <v>2.04</v>
      </c>
      <c r="G333">
        <v>2.11</v>
      </c>
      <c r="H333">
        <v>1.68</v>
      </c>
      <c r="I333" t="s">
        <v>392</v>
      </c>
    </row>
    <row r="334" spans="1:9" x14ac:dyDescent="0.25">
      <c r="A334" t="s">
        <v>807</v>
      </c>
      <c r="B334" t="s">
        <v>370</v>
      </c>
      <c r="C334">
        <v>1</v>
      </c>
      <c r="D334">
        <v>1999</v>
      </c>
      <c r="E334">
        <v>0.77</v>
      </c>
      <c r="F334">
        <v>0.76</v>
      </c>
      <c r="G334">
        <v>0.82</v>
      </c>
      <c r="H334">
        <v>0.47</v>
      </c>
      <c r="I334" t="s">
        <v>149</v>
      </c>
    </row>
    <row r="335" spans="1:9" x14ac:dyDescent="0.25">
      <c r="A335" t="s">
        <v>808</v>
      </c>
      <c r="B335" t="s">
        <v>370</v>
      </c>
      <c r="C335">
        <v>1</v>
      </c>
      <c r="D335">
        <v>2000</v>
      </c>
      <c r="E335">
        <v>3.48</v>
      </c>
      <c r="F335">
        <v>4.09</v>
      </c>
      <c r="G335">
        <v>4.09</v>
      </c>
      <c r="H335">
        <v>3.35</v>
      </c>
      <c r="I335" t="s">
        <v>28</v>
      </c>
    </row>
    <row r="336" spans="1:9" x14ac:dyDescent="0.25">
      <c r="A336" t="s">
        <v>809</v>
      </c>
      <c r="B336" t="s">
        <v>370</v>
      </c>
      <c r="C336">
        <v>1</v>
      </c>
      <c r="D336">
        <v>2001</v>
      </c>
      <c r="E336">
        <v>5.6</v>
      </c>
      <c r="F336">
        <v>4.8</v>
      </c>
      <c r="G336">
        <v>6.06</v>
      </c>
      <c r="H336">
        <v>4.8</v>
      </c>
      <c r="I336" t="s">
        <v>391</v>
      </c>
    </row>
    <row r="337" spans="1:9" x14ac:dyDescent="0.25">
      <c r="A337" t="s">
        <v>810</v>
      </c>
      <c r="B337" t="s">
        <v>370</v>
      </c>
      <c r="C337">
        <v>1</v>
      </c>
      <c r="D337">
        <v>2002</v>
      </c>
      <c r="E337">
        <v>5.07</v>
      </c>
      <c r="F337">
        <v>5.36</v>
      </c>
      <c r="G337">
        <v>5.56</v>
      </c>
      <c r="H337">
        <v>4.91</v>
      </c>
      <c r="I337" t="s">
        <v>390</v>
      </c>
    </row>
    <row r="338" spans="1:9" x14ac:dyDescent="0.25">
      <c r="A338" t="s">
        <v>811</v>
      </c>
      <c r="B338" t="s">
        <v>370</v>
      </c>
      <c r="C338">
        <v>1</v>
      </c>
      <c r="D338">
        <v>2003</v>
      </c>
      <c r="E338">
        <v>5.3</v>
      </c>
      <c r="F338">
        <v>5.4</v>
      </c>
      <c r="G338">
        <v>6.03</v>
      </c>
      <c r="H338">
        <v>4.96</v>
      </c>
      <c r="I338" t="s">
        <v>389</v>
      </c>
    </row>
    <row r="339" spans="1:9" x14ac:dyDescent="0.25">
      <c r="A339" t="s">
        <v>812</v>
      </c>
      <c r="B339" t="s">
        <v>370</v>
      </c>
      <c r="C339">
        <v>1</v>
      </c>
      <c r="D339">
        <v>2004</v>
      </c>
      <c r="E339">
        <v>8.69</v>
      </c>
      <c r="F339">
        <v>8.5399999999999991</v>
      </c>
      <c r="G339">
        <v>10.4</v>
      </c>
      <c r="H339">
        <v>8.48</v>
      </c>
      <c r="I339" t="s">
        <v>388</v>
      </c>
    </row>
    <row r="340" spans="1:9" x14ac:dyDescent="0.25">
      <c r="A340" t="s">
        <v>813</v>
      </c>
      <c r="B340" t="s">
        <v>370</v>
      </c>
      <c r="C340">
        <v>1</v>
      </c>
      <c r="D340">
        <v>2005</v>
      </c>
      <c r="E340">
        <v>10.97</v>
      </c>
      <c r="F340">
        <v>10.94</v>
      </c>
      <c r="G340">
        <v>10.97</v>
      </c>
      <c r="H340">
        <v>10.28</v>
      </c>
      <c r="I340" t="s">
        <v>387</v>
      </c>
    </row>
    <row r="341" spans="1:9" x14ac:dyDescent="0.25">
      <c r="A341" t="s">
        <v>814</v>
      </c>
      <c r="B341" t="s">
        <v>370</v>
      </c>
      <c r="C341">
        <v>1</v>
      </c>
      <c r="D341">
        <v>2006</v>
      </c>
      <c r="E341">
        <v>21.14</v>
      </c>
      <c r="F341">
        <v>16.559999999999999</v>
      </c>
      <c r="G341">
        <v>21.14</v>
      </c>
      <c r="H341">
        <v>16.54</v>
      </c>
      <c r="I341" t="s">
        <v>386</v>
      </c>
    </row>
    <row r="342" spans="1:9" x14ac:dyDescent="0.25">
      <c r="A342" t="s">
        <v>815</v>
      </c>
      <c r="B342" t="s">
        <v>370</v>
      </c>
      <c r="C342">
        <v>1</v>
      </c>
      <c r="D342">
        <v>2007</v>
      </c>
      <c r="E342">
        <v>21.26</v>
      </c>
      <c r="F342">
        <v>22.32</v>
      </c>
      <c r="G342">
        <v>22.8</v>
      </c>
      <c r="H342">
        <v>19.71</v>
      </c>
      <c r="I342" t="s">
        <v>385</v>
      </c>
    </row>
    <row r="343" spans="1:9" x14ac:dyDescent="0.25">
      <c r="A343" t="s">
        <v>816</v>
      </c>
      <c r="B343" t="s">
        <v>370</v>
      </c>
      <c r="C343">
        <v>1</v>
      </c>
      <c r="D343">
        <v>2008</v>
      </c>
      <c r="E343">
        <v>39.82</v>
      </c>
      <c r="F343">
        <v>42.41</v>
      </c>
      <c r="G343">
        <v>43.24</v>
      </c>
      <c r="H343">
        <v>31.79</v>
      </c>
      <c r="I343" t="s">
        <v>384</v>
      </c>
    </row>
    <row r="344" spans="1:9" x14ac:dyDescent="0.25">
      <c r="A344" t="s">
        <v>817</v>
      </c>
      <c r="B344" t="s">
        <v>370</v>
      </c>
      <c r="C344">
        <v>1</v>
      </c>
      <c r="D344">
        <v>2009</v>
      </c>
      <c r="E344">
        <v>25.55</v>
      </c>
      <c r="F344">
        <v>23.39</v>
      </c>
      <c r="G344">
        <v>26.57</v>
      </c>
      <c r="H344">
        <v>22.41</v>
      </c>
      <c r="I344" t="s">
        <v>383</v>
      </c>
    </row>
    <row r="345" spans="1:9" x14ac:dyDescent="0.25">
      <c r="A345" t="s">
        <v>818</v>
      </c>
      <c r="B345" t="s">
        <v>370</v>
      </c>
      <c r="C345">
        <v>1</v>
      </c>
      <c r="D345">
        <v>2010</v>
      </c>
      <c r="E345">
        <v>32.909999999999997</v>
      </c>
      <c r="F345">
        <v>35.909999999999997</v>
      </c>
      <c r="G345">
        <v>36.909999999999997</v>
      </c>
      <c r="H345">
        <v>32.07</v>
      </c>
      <c r="I345" t="s">
        <v>382</v>
      </c>
    </row>
    <row r="346" spans="1:9" x14ac:dyDescent="0.25">
      <c r="A346" t="s">
        <v>819</v>
      </c>
      <c r="B346" t="s">
        <v>370</v>
      </c>
      <c r="C346">
        <v>1</v>
      </c>
      <c r="D346">
        <v>2011</v>
      </c>
      <c r="E346">
        <v>26.08</v>
      </c>
      <c r="F346">
        <v>26.67</v>
      </c>
      <c r="G346">
        <v>27.57</v>
      </c>
      <c r="H346">
        <v>25.14</v>
      </c>
      <c r="I346" t="s">
        <v>381</v>
      </c>
    </row>
    <row r="347" spans="1:9" x14ac:dyDescent="0.25">
      <c r="A347" t="s">
        <v>820</v>
      </c>
      <c r="B347" t="s">
        <v>370</v>
      </c>
      <c r="C347">
        <v>1</v>
      </c>
      <c r="D347">
        <v>2012</v>
      </c>
      <c r="E347">
        <v>24.36</v>
      </c>
      <c r="F347">
        <v>20.76</v>
      </c>
      <c r="G347">
        <v>25.58</v>
      </c>
      <c r="H347">
        <v>20.41</v>
      </c>
      <c r="I347" t="s">
        <v>380</v>
      </c>
    </row>
    <row r="348" spans="1:9" x14ac:dyDescent="0.25">
      <c r="A348" t="s">
        <v>821</v>
      </c>
      <c r="B348" t="s">
        <v>370</v>
      </c>
      <c r="C348">
        <v>1</v>
      </c>
      <c r="D348">
        <v>2013</v>
      </c>
      <c r="E348">
        <v>16.739999999999998</v>
      </c>
      <c r="F348">
        <v>18.43</v>
      </c>
      <c r="G348">
        <v>19.23</v>
      </c>
      <c r="H348">
        <v>16.559999999999999</v>
      </c>
      <c r="I348" t="s">
        <v>379</v>
      </c>
    </row>
    <row r="349" spans="1:9" x14ac:dyDescent="0.25">
      <c r="A349" t="s">
        <v>822</v>
      </c>
      <c r="B349" t="s">
        <v>370</v>
      </c>
      <c r="C349">
        <v>1</v>
      </c>
      <c r="D349">
        <v>2014</v>
      </c>
      <c r="E349">
        <v>12.84</v>
      </c>
      <c r="F349">
        <v>14.97</v>
      </c>
      <c r="G349">
        <v>15.06</v>
      </c>
      <c r="H349">
        <v>12.57</v>
      </c>
      <c r="I349" t="s">
        <v>378</v>
      </c>
    </row>
    <row r="350" spans="1:9" x14ac:dyDescent="0.25">
      <c r="A350" t="s">
        <v>823</v>
      </c>
      <c r="B350" t="s">
        <v>370</v>
      </c>
      <c r="C350">
        <v>1</v>
      </c>
      <c r="D350">
        <v>2015</v>
      </c>
      <c r="E350">
        <v>7.75</v>
      </c>
      <c r="F350">
        <v>9.24</v>
      </c>
      <c r="G350">
        <v>9.8000000000000007</v>
      </c>
      <c r="H350">
        <v>7.5</v>
      </c>
      <c r="I350" t="s">
        <v>377</v>
      </c>
    </row>
    <row r="351" spans="1:9" x14ac:dyDescent="0.25">
      <c r="A351" t="s">
        <v>824</v>
      </c>
      <c r="B351" t="s">
        <v>370</v>
      </c>
      <c r="C351">
        <v>1</v>
      </c>
      <c r="D351">
        <v>2016</v>
      </c>
      <c r="E351">
        <v>6.68</v>
      </c>
      <c r="F351">
        <v>8.01</v>
      </c>
      <c r="G351">
        <v>8.64</v>
      </c>
      <c r="H351">
        <v>5.47</v>
      </c>
      <c r="I351" t="s">
        <v>376</v>
      </c>
    </row>
    <row r="352" spans="1:9" x14ac:dyDescent="0.25">
      <c r="A352" t="s">
        <v>825</v>
      </c>
      <c r="B352" t="s">
        <v>370</v>
      </c>
      <c r="C352">
        <v>1</v>
      </c>
      <c r="D352">
        <v>2017</v>
      </c>
      <c r="E352">
        <v>15.61</v>
      </c>
      <c r="F352">
        <v>16.100000000000001</v>
      </c>
      <c r="G352">
        <v>18.18</v>
      </c>
      <c r="H352">
        <v>15.56</v>
      </c>
      <c r="I352" t="s">
        <v>260</v>
      </c>
    </row>
    <row r="353" spans="1:9" x14ac:dyDescent="0.25">
      <c r="A353" t="s">
        <v>826</v>
      </c>
      <c r="B353" t="s">
        <v>370</v>
      </c>
      <c r="C353">
        <v>1</v>
      </c>
      <c r="D353">
        <v>2018</v>
      </c>
      <c r="E353">
        <v>20.54</v>
      </c>
      <c r="F353">
        <v>16.38</v>
      </c>
      <c r="G353">
        <v>21.16</v>
      </c>
      <c r="H353">
        <v>16.37</v>
      </c>
      <c r="I353" t="s">
        <v>375</v>
      </c>
    </row>
    <row r="354" spans="1:9" x14ac:dyDescent="0.25">
      <c r="A354" t="s">
        <v>827</v>
      </c>
      <c r="B354" t="s">
        <v>370</v>
      </c>
      <c r="C354">
        <v>1</v>
      </c>
      <c r="D354">
        <v>2019</v>
      </c>
      <c r="E354">
        <v>28.77</v>
      </c>
      <c r="F354">
        <v>24.74</v>
      </c>
      <c r="G354">
        <v>29.18</v>
      </c>
      <c r="H354">
        <v>24.44</v>
      </c>
      <c r="I354" t="s">
        <v>374</v>
      </c>
    </row>
    <row r="355" spans="1:9" x14ac:dyDescent="0.25">
      <c r="A355" t="s">
        <v>828</v>
      </c>
      <c r="B355" t="s">
        <v>370</v>
      </c>
      <c r="C355">
        <v>1</v>
      </c>
      <c r="D355">
        <v>2020</v>
      </c>
      <c r="E355">
        <v>30.05</v>
      </c>
      <c r="F355">
        <v>31.99</v>
      </c>
      <c r="G355">
        <v>32.9</v>
      </c>
      <c r="H355">
        <v>29.23</v>
      </c>
      <c r="I355" t="s">
        <v>373</v>
      </c>
    </row>
    <row r="356" spans="1:9" x14ac:dyDescent="0.25">
      <c r="A356" t="s">
        <v>829</v>
      </c>
      <c r="B356" t="s">
        <v>370</v>
      </c>
      <c r="C356">
        <v>1</v>
      </c>
      <c r="D356">
        <v>2021</v>
      </c>
      <c r="E356">
        <v>27.33</v>
      </c>
      <c r="F356">
        <v>29.14</v>
      </c>
      <c r="G356">
        <v>32.340000000000003</v>
      </c>
      <c r="H356">
        <v>27.09</v>
      </c>
      <c r="I356" t="s">
        <v>372</v>
      </c>
    </row>
    <row r="357" spans="1:9" x14ac:dyDescent="0.25">
      <c r="A357" t="s">
        <v>830</v>
      </c>
      <c r="B357" t="s">
        <v>370</v>
      </c>
      <c r="C357">
        <v>1</v>
      </c>
      <c r="D357">
        <v>2022</v>
      </c>
      <c r="E357">
        <v>35.270000000000003</v>
      </c>
      <c r="F357">
        <v>30.84</v>
      </c>
      <c r="G357">
        <v>37.799999999999997</v>
      </c>
      <c r="H357">
        <v>30.39</v>
      </c>
      <c r="I357" t="s">
        <v>371</v>
      </c>
    </row>
    <row r="358" spans="1:9" x14ac:dyDescent="0.25">
      <c r="A358" t="s">
        <v>831</v>
      </c>
      <c r="B358" t="s">
        <v>394</v>
      </c>
      <c r="C358">
        <v>1</v>
      </c>
      <c r="D358">
        <v>2011</v>
      </c>
      <c r="E358">
        <v>181.8</v>
      </c>
      <c r="F358">
        <v>159</v>
      </c>
      <c r="G358">
        <v>183.41</v>
      </c>
      <c r="H358">
        <v>154.5</v>
      </c>
      <c r="I358" t="s">
        <v>181</v>
      </c>
    </row>
    <row r="359" spans="1:9" x14ac:dyDescent="0.25">
      <c r="A359" t="s">
        <v>832</v>
      </c>
      <c r="B359" t="s">
        <v>394</v>
      </c>
      <c r="C359">
        <v>1</v>
      </c>
      <c r="D359">
        <v>2012</v>
      </c>
      <c r="E359">
        <v>45.8</v>
      </c>
      <c r="F359">
        <v>57</v>
      </c>
      <c r="G359">
        <v>58</v>
      </c>
      <c r="H359">
        <v>37.200000000000003</v>
      </c>
      <c r="I359" t="s">
        <v>403</v>
      </c>
    </row>
    <row r="360" spans="1:9" x14ac:dyDescent="0.25">
      <c r="A360" t="s">
        <v>833</v>
      </c>
      <c r="B360" t="s">
        <v>394</v>
      </c>
      <c r="C360">
        <v>1</v>
      </c>
      <c r="D360">
        <v>2013</v>
      </c>
      <c r="E360">
        <v>18.75</v>
      </c>
      <c r="F360">
        <v>24.15</v>
      </c>
      <c r="G360">
        <v>28.65</v>
      </c>
      <c r="H360">
        <v>18.600000000000001</v>
      </c>
      <c r="I360" t="s">
        <v>86</v>
      </c>
    </row>
    <row r="361" spans="1:9" x14ac:dyDescent="0.25">
      <c r="A361" t="s">
        <v>834</v>
      </c>
      <c r="B361" t="s">
        <v>394</v>
      </c>
      <c r="C361">
        <v>1</v>
      </c>
      <c r="D361">
        <v>2014</v>
      </c>
      <c r="E361">
        <v>5.8</v>
      </c>
      <c r="F361">
        <v>4.55</v>
      </c>
      <c r="G361">
        <v>6.85</v>
      </c>
      <c r="H361">
        <v>4.05</v>
      </c>
      <c r="I361" t="s">
        <v>402</v>
      </c>
    </row>
    <row r="362" spans="1:9" x14ac:dyDescent="0.25">
      <c r="A362" t="s">
        <v>835</v>
      </c>
      <c r="B362" t="s">
        <v>394</v>
      </c>
      <c r="C362">
        <v>1</v>
      </c>
      <c r="D362">
        <v>2015</v>
      </c>
      <c r="E362">
        <v>1.95</v>
      </c>
      <c r="F362">
        <v>2.2999999999999998</v>
      </c>
      <c r="G362">
        <v>3.85</v>
      </c>
      <c r="H362">
        <v>1.42</v>
      </c>
      <c r="I362" t="s">
        <v>401</v>
      </c>
    </row>
    <row r="363" spans="1:9" x14ac:dyDescent="0.25">
      <c r="A363" t="s">
        <v>836</v>
      </c>
      <c r="B363" t="s">
        <v>394</v>
      </c>
      <c r="C363">
        <v>1</v>
      </c>
      <c r="D363">
        <v>2016</v>
      </c>
      <c r="E363">
        <v>0.73</v>
      </c>
      <c r="F363">
        <v>1.23</v>
      </c>
      <c r="G363">
        <v>1.25</v>
      </c>
      <c r="H363">
        <v>0.69</v>
      </c>
      <c r="I363" t="s">
        <v>96</v>
      </c>
    </row>
    <row r="364" spans="1:9" x14ac:dyDescent="0.25">
      <c r="A364" t="s">
        <v>837</v>
      </c>
      <c r="B364" t="s">
        <v>394</v>
      </c>
      <c r="C364">
        <v>1</v>
      </c>
      <c r="D364">
        <v>2017</v>
      </c>
      <c r="E364">
        <v>2.62</v>
      </c>
      <c r="F364">
        <v>2.17</v>
      </c>
      <c r="G364">
        <v>2.84</v>
      </c>
      <c r="H364">
        <v>2.16</v>
      </c>
      <c r="I364" t="s">
        <v>400</v>
      </c>
    </row>
    <row r="365" spans="1:9" x14ac:dyDescent="0.25">
      <c r="A365" t="s">
        <v>838</v>
      </c>
      <c r="B365" t="s">
        <v>394</v>
      </c>
      <c r="C365">
        <v>1</v>
      </c>
      <c r="D365">
        <v>2018</v>
      </c>
      <c r="E365">
        <v>8.83</v>
      </c>
      <c r="F365">
        <v>8.18</v>
      </c>
      <c r="G365">
        <v>11.2</v>
      </c>
      <c r="H365">
        <v>8.18</v>
      </c>
      <c r="I365" t="s">
        <v>399</v>
      </c>
    </row>
    <row r="366" spans="1:9" x14ac:dyDescent="0.25">
      <c r="A366" t="s">
        <v>839</v>
      </c>
      <c r="B366" t="s">
        <v>394</v>
      </c>
      <c r="C366">
        <v>1</v>
      </c>
      <c r="D366">
        <v>2019</v>
      </c>
      <c r="E366">
        <v>11.5</v>
      </c>
      <c r="F366">
        <v>9.8000000000000007</v>
      </c>
      <c r="G366">
        <v>12.43</v>
      </c>
      <c r="H366">
        <v>9.7100000000000009</v>
      </c>
      <c r="I366" t="s">
        <v>398</v>
      </c>
    </row>
    <row r="367" spans="1:9" x14ac:dyDescent="0.25">
      <c r="A367" t="s">
        <v>840</v>
      </c>
      <c r="B367" t="s">
        <v>394</v>
      </c>
      <c r="C367">
        <v>1</v>
      </c>
      <c r="D367">
        <v>2020</v>
      </c>
      <c r="E367">
        <v>47.93</v>
      </c>
      <c r="F367">
        <v>33.700000000000003</v>
      </c>
      <c r="G367">
        <v>49.86</v>
      </c>
      <c r="H367">
        <v>33.29</v>
      </c>
      <c r="I367" t="s">
        <v>397</v>
      </c>
    </row>
    <row r="368" spans="1:9" x14ac:dyDescent="0.25">
      <c r="A368" t="s">
        <v>841</v>
      </c>
      <c r="B368" t="s">
        <v>394</v>
      </c>
      <c r="C368">
        <v>1</v>
      </c>
      <c r="D368">
        <v>2021</v>
      </c>
      <c r="E368">
        <v>70.489999999999995</v>
      </c>
      <c r="F368">
        <v>71</v>
      </c>
      <c r="G368">
        <v>84.6</v>
      </c>
      <c r="H368">
        <v>67.540000000000006</v>
      </c>
      <c r="I368" t="s">
        <v>396</v>
      </c>
    </row>
    <row r="369" spans="1:9" x14ac:dyDescent="0.25">
      <c r="A369" t="s">
        <v>842</v>
      </c>
      <c r="B369" t="s">
        <v>394</v>
      </c>
      <c r="C369">
        <v>1</v>
      </c>
      <c r="D369">
        <v>2022</v>
      </c>
      <c r="E369">
        <v>23.92</v>
      </c>
      <c r="F369">
        <v>20.66</v>
      </c>
      <c r="G369">
        <v>24.9</v>
      </c>
      <c r="H369">
        <v>18.489999999999998</v>
      </c>
      <c r="I369" t="s">
        <v>395</v>
      </c>
    </row>
    <row r="370" spans="1:9" x14ac:dyDescent="0.25">
      <c r="A370" t="s">
        <v>843</v>
      </c>
      <c r="B370" t="s">
        <v>404</v>
      </c>
      <c r="C370">
        <v>1</v>
      </c>
      <c r="D370">
        <v>2005</v>
      </c>
      <c r="E370">
        <v>1.61</v>
      </c>
      <c r="F370">
        <v>1.57</v>
      </c>
      <c r="G370">
        <v>1.79</v>
      </c>
      <c r="H370">
        <v>1.57</v>
      </c>
      <c r="I370" t="s">
        <v>410</v>
      </c>
    </row>
    <row r="371" spans="1:9" x14ac:dyDescent="0.25">
      <c r="A371" t="s">
        <v>844</v>
      </c>
      <c r="B371" t="s">
        <v>404</v>
      </c>
      <c r="C371">
        <v>1</v>
      </c>
      <c r="D371">
        <v>2006</v>
      </c>
      <c r="E371">
        <v>2.35</v>
      </c>
      <c r="F371">
        <v>1.9</v>
      </c>
      <c r="G371">
        <v>2.37</v>
      </c>
      <c r="H371">
        <v>1.9</v>
      </c>
      <c r="I371" t="s">
        <v>420</v>
      </c>
    </row>
    <row r="372" spans="1:9" x14ac:dyDescent="0.25">
      <c r="A372" t="s">
        <v>845</v>
      </c>
      <c r="B372" t="s">
        <v>404</v>
      </c>
      <c r="C372">
        <v>1</v>
      </c>
      <c r="D372">
        <v>2007</v>
      </c>
      <c r="E372">
        <v>5.45</v>
      </c>
      <c r="F372">
        <v>5.21</v>
      </c>
      <c r="G372">
        <v>5.64</v>
      </c>
      <c r="H372">
        <v>4.82</v>
      </c>
      <c r="I372" t="s">
        <v>223</v>
      </c>
    </row>
    <row r="373" spans="1:9" x14ac:dyDescent="0.25">
      <c r="A373" t="s">
        <v>846</v>
      </c>
      <c r="B373" t="s">
        <v>404</v>
      </c>
      <c r="C373">
        <v>1</v>
      </c>
      <c r="D373">
        <v>2008</v>
      </c>
      <c r="E373">
        <v>4.7699999999999996</v>
      </c>
      <c r="F373">
        <v>5.51</v>
      </c>
      <c r="G373">
        <v>5.52</v>
      </c>
      <c r="H373">
        <v>4.37</v>
      </c>
      <c r="I373" t="s">
        <v>419</v>
      </c>
    </row>
    <row r="374" spans="1:9" x14ac:dyDescent="0.25">
      <c r="A374" t="s">
        <v>847</v>
      </c>
      <c r="B374" t="s">
        <v>404</v>
      </c>
      <c r="C374">
        <v>1</v>
      </c>
      <c r="D374">
        <v>2009</v>
      </c>
      <c r="E374">
        <v>3.63</v>
      </c>
      <c r="F374">
        <v>3.5</v>
      </c>
      <c r="G374">
        <v>3.86</v>
      </c>
      <c r="H374">
        <v>3.39</v>
      </c>
      <c r="I374" t="s">
        <v>418</v>
      </c>
    </row>
    <row r="375" spans="1:9" x14ac:dyDescent="0.25">
      <c r="A375" t="s">
        <v>848</v>
      </c>
      <c r="B375" t="s">
        <v>404</v>
      </c>
      <c r="C375">
        <v>1</v>
      </c>
      <c r="D375">
        <v>2010</v>
      </c>
      <c r="E375">
        <v>5.16</v>
      </c>
      <c r="F375">
        <v>5.51</v>
      </c>
      <c r="G375">
        <v>5.8</v>
      </c>
      <c r="H375">
        <v>5.07</v>
      </c>
      <c r="I375" t="s">
        <v>210</v>
      </c>
    </row>
    <row r="376" spans="1:9" x14ac:dyDescent="0.25">
      <c r="A376" t="s">
        <v>849</v>
      </c>
      <c r="B376" t="s">
        <v>404</v>
      </c>
      <c r="C376">
        <v>1</v>
      </c>
      <c r="D376">
        <v>2011</v>
      </c>
      <c r="E376">
        <v>7.22</v>
      </c>
      <c r="F376">
        <v>7.91</v>
      </c>
      <c r="G376">
        <v>8.08</v>
      </c>
      <c r="H376">
        <v>6.95</v>
      </c>
      <c r="I376" t="s">
        <v>417</v>
      </c>
    </row>
    <row r="377" spans="1:9" x14ac:dyDescent="0.25">
      <c r="A377" t="s">
        <v>850</v>
      </c>
      <c r="B377" t="s">
        <v>404</v>
      </c>
      <c r="C377">
        <v>1</v>
      </c>
      <c r="D377">
        <v>2012</v>
      </c>
      <c r="E377">
        <v>6.07</v>
      </c>
      <c r="F377">
        <v>6.25</v>
      </c>
      <c r="G377">
        <v>6.45</v>
      </c>
      <c r="H377">
        <v>5.89</v>
      </c>
      <c r="I377" t="s">
        <v>416</v>
      </c>
    </row>
    <row r="378" spans="1:9" x14ac:dyDescent="0.25">
      <c r="A378" t="s">
        <v>851</v>
      </c>
      <c r="B378" t="s">
        <v>404</v>
      </c>
      <c r="C378">
        <v>1</v>
      </c>
      <c r="D378">
        <v>2013</v>
      </c>
      <c r="E378">
        <v>7.31</v>
      </c>
      <c r="F378">
        <v>7.24</v>
      </c>
      <c r="G378">
        <v>7.6</v>
      </c>
      <c r="H378">
        <v>6.88</v>
      </c>
      <c r="I378" t="s">
        <v>415</v>
      </c>
    </row>
    <row r="379" spans="1:9" x14ac:dyDescent="0.25">
      <c r="A379" t="s">
        <v>852</v>
      </c>
      <c r="B379" t="s">
        <v>404</v>
      </c>
      <c r="C379">
        <v>1</v>
      </c>
      <c r="D379">
        <v>2014</v>
      </c>
      <c r="E379">
        <v>8.9600000000000009</v>
      </c>
      <c r="F379">
        <v>9.5</v>
      </c>
      <c r="G379">
        <v>9.56</v>
      </c>
      <c r="H379">
        <v>8.76</v>
      </c>
      <c r="I379" t="s">
        <v>414</v>
      </c>
    </row>
    <row r="380" spans="1:9" x14ac:dyDescent="0.25">
      <c r="A380" t="s">
        <v>853</v>
      </c>
      <c r="B380" t="s">
        <v>404</v>
      </c>
      <c r="C380">
        <v>1</v>
      </c>
      <c r="D380">
        <v>2015</v>
      </c>
      <c r="E380">
        <v>9.43</v>
      </c>
      <c r="F380">
        <v>10.65</v>
      </c>
      <c r="G380">
        <v>10.88</v>
      </c>
      <c r="H380">
        <v>9.43</v>
      </c>
      <c r="I380" t="s">
        <v>413</v>
      </c>
    </row>
    <row r="381" spans="1:9" x14ac:dyDescent="0.25">
      <c r="A381" t="s">
        <v>854</v>
      </c>
      <c r="B381" t="s">
        <v>404</v>
      </c>
      <c r="C381">
        <v>1</v>
      </c>
      <c r="D381">
        <v>2016</v>
      </c>
      <c r="E381">
        <v>9.6</v>
      </c>
      <c r="F381">
        <v>10.55</v>
      </c>
      <c r="G381">
        <v>10.99</v>
      </c>
      <c r="H381">
        <v>8.2899999999999991</v>
      </c>
      <c r="I381" t="s">
        <v>412</v>
      </c>
    </row>
    <row r="382" spans="1:9" x14ac:dyDescent="0.25">
      <c r="A382" t="s">
        <v>855</v>
      </c>
      <c r="B382" t="s">
        <v>404</v>
      </c>
      <c r="C382">
        <v>1</v>
      </c>
      <c r="D382">
        <v>2017</v>
      </c>
      <c r="E382">
        <v>10.07</v>
      </c>
      <c r="F382">
        <v>10.31</v>
      </c>
      <c r="G382">
        <v>10.94</v>
      </c>
      <c r="H382">
        <v>9.85</v>
      </c>
      <c r="I382" t="s">
        <v>411</v>
      </c>
    </row>
    <row r="383" spans="1:9" x14ac:dyDescent="0.25">
      <c r="A383" t="s">
        <v>856</v>
      </c>
      <c r="B383" t="s">
        <v>404</v>
      </c>
      <c r="C383">
        <v>1</v>
      </c>
      <c r="D383">
        <v>2018</v>
      </c>
      <c r="E383">
        <v>17.72</v>
      </c>
      <c r="F383">
        <v>14.57</v>
      </c>
      <c r="G383">
        <v>18.03</v>
      </c>
      <c r="H383">
        <v>14.51</v>
      </c>
      <c r="I383" t="s">
        <v>409</v>
      </c>
    </row>
    <row r="384" spans="1:9" x14ac:dyDescent="0.25">
      <c r="A384" t="s">
        <v>857</v>
      </c>
      <c r="B384" t="s">
        <v>404</v>
      </c>
      <c r="C384">
        <v>1</v>
      </c>
      <c r="D384">
        <v>2019</v>
      </c>
      <c r="E384">
        <v>24.53</v>
      </c>
      <c r="F384">
        <v>22.61</v>
      </c>
      <c r="G384">
        <v>25.35</v>
      </c>
      <c r="H384">
        <v>21.05</v>
      </c>
      <c r="I384" t="s">
        <v>408</v>
      </c>
    </row>
    <row r="385" spans="1:9" x14ac:dyDescent="0.25">
      <c r="A385" t="s">
        <v>858</v>
      </c>
      <c r="B385" t="s">
        <v>404</v>
      </c>
      <c r="C385">
        <v>1</v>
      </c>
      <c r="D385">
        <v>2020</v>
      </c>
      <c r="E385">
        <v>30.08</v>
      </c>
      <c r="F385">
        <v>28.66</v>
      </c>
      <c r="G385">
        <v>30.47</v>
      </c>
      <c r="H385">
        <v>28.42</v>
      </c>
      <c r="I385" t="s">
        <v>407</v>
      </c>
    </row>
    <row r="386" spans="1:9" x14ac:dyDescent="0.25">
      <c r="A386" t="s">
        <v>859</v>
      </c>
      <c r="B386" t="s">
        <v>404</v>
      </c>
      <c r="C386">
        <v>1</v>
      </c>
      <c r="D386">
        <v>2021</v>
      </c>
      <c r="E386">
        <v>22.94</v>
      </c>
      <c r="F386">
        <v>23.44</v>
      </c>
      <c r="G386">
        <v>24.2</v>
      </c>
      <c r="H386">
        <v>21.92</v>
      </c>
      <c r="I386" t="s">
        <v>406</v>
      </c>
    </row>
    <row r="387" spans="1:9" x14ac:dyDescent="0.25">
      <c r="A387" t="s">
        <v>860</v>
      </c>
      <c r="B387" t="s">
        <v>404</v>
      </c>
      <c r="C387">
        <v>1</v>
      </c>
      <c r="D387">
        <v>2022</v>
      </c>
      <c r="E387">
        <v>19.829999999999998</v>
      </c>
      <c r="F387">
        <v>21.42</v>
      </c>
      <c r="G387">
        <v>21.43</v>
      </c>
      <c r="H387">
        <v>18.53</v>
      </c>
      <c r="I387" t="s">
        <v>405</v>
      </c>
    </row>
    <row r="388" spans="1:9" x14ac:dyDescent="0.25">
      <c r="A388" t="s">
        <v>861</v>
      </c>
      <c r="B388" t="s">
        <v>421</v>
      </c>
      <c r="C388">
        <v>1</v>
      </c>
      <c r="D388">
        <v>2020</v>
      </c>
      <c r="E388">
        <v>550.95000000000005</v>
      </c>
      <c r="F388">
        <v>540.15</v>
      </c>
      <c r="G388">
        <v>578.86</v>
      </c>
      <c r="H388">
        <v>540.15</v>
      </c>
      <c r="I388" t="s">
        <v>424</v>
      </c>
    </row>
    <row r="389" spans="1:9" x14ac:dyDescent="0.25">
      <c r="A389" t="s">
        <v>862</v>
      </c>
      <c r="B389" t="s">
        <v>421</v>
      </c>
      <c r="C389">
        <v>1</v>
      </c>
      <c r="D389">
        <v>2021</v>
      </c>
      <c r="E389">
        <v>697.3</v>
      </c>
      <c r="F389">
        <v>680</v>
      </c>
      <c r="G389">
        <v>720.5</v>
      </c>
      <c r="H389">
        <v>650</v>
      </c>
      <c r="I389" t="s">
        <v>423</v>
      </c>
    </row>
    <row r="390" spans="1:9" x14ac:dyDescent="0.25">
      <c r="A390" t="s">
        <v>863</v>
      </c>
      <c r="B390" t="s">
        <v>421</v>
      </c>
      <c r="C390">
        <v>1</v>
      </c>
      <c r="D390">
        <v>2022</v>
      </c>
      <c r="E390">
        <v>665.41</v>
      </c>
      <c r="F390">
        <v>803.2</v>
      </c>
      <c r="G390">
        <v>805.15</v>
      </c>
      <c r="H390">
        <v>646.13</v>
      </c>
      <c r="I390" t="s">
        <v>422</v>
      </c>
    </row>
    <row r="391" spans="1:9" x14ac:dyDescent="0.25">
      <c r="A391" t="s">
        <v>864</v>
      </c>
      <c r="B391" t="s">
        <v>425</v>
      </c>
      <c r="C391">
        <v>1</v>
      </c>
      <c r="D391">
        <v>2020</v>
      </c>
      <c r="E391">
        <v>145.03</v>
      </c>
      <c r="F391">
        <v>141.65</v>
      </c>
      <c r="G391">
        <v>145.5</v>
      </c>
      <c r="H391">
        <v>137.44</v>
      </c>
      <c r="I391" t="s">
        <v>428</v>
      </c>
    </row>
    <row r="392" spans="1:9" x14ac:dyDescent="0.25">
      <c r="A392" t="s">
        <v>865</v>
      </c>
      <c r="B392" t="s">
        <v>425</v>
      </c>
      <c r="C392">
        <v>1</v>
      </c>
      <c r="D392">
        <v>2021</v>
      </c>
      <c r="E392">
        <v>127</v>
      </c>
      <c r="F392">
        <v>110.33</v>
      </c>
      <c r="G392">
        <v>134</v>
      </c>
      <c r="H392">
        <v>107.94</v>
      </c>
      <c r="I392" t="s">
        <v>427</v>
      </c>
    </row>
    <row r="393" spans="1:9" x14ac:dyDescent="0.25">
      <c r="A393" t="s">
        <v>866</v>
      </c>
      <c r="B393" t="s">
        <v>425</v>
      </c>
      <c r="C393">
        <v>1</v>
      </c>
      <c r="D393">
        <v>2022</v>
      </c>
      <c r="E393">
        <v>195.16</v>
      </c>
      <c r="F393">
        <v>223.47</v>
      </c>
      <c r="G393">
        <v>246.98</v>
      </c>
      <c r="H393">
        <v>190.92</v>
      </c>
      <c r="I393" t="s">
        <v>426</v>
      </c>
    </row>
    <row r="394" spans="1:9" x14ac:dyDescent="0.25">
      <c r="A394" t="s">
        <v>867</v>
      </c>
      <c r="B394" t="s">
        <v>429</v>
      </c>
      <c r="C394">
        <v>1</v>
      </c>
      <c r="D394">
        <v>2018</v>
      </c>
      <c r="E394">
        <v>5.44</v>
      </c>
      <c r="F394">
        <v>5.91</v>
      </c>
      <c r="G394">
        <v>5.91</v>
      </c>
      <c r="H394">
        <v>5.21</v>
      </c>
      <c r="I394" t="s">
        <v>432</v>
      </c>
    </row>
    <row r="395" spans="1:9" x14ac:dyDescent="0.25">
      <c r="A395" t="s">
        <v>868</v>
      </c>
      <c r="B395" t="s">
        <v>429</v>
      </c>
      <c r="C395">
        <v>1</v>
      </c>
      <c r="D395">
        <v>2019</v>
      </c>
      <c r="E395">
        <v>8.68</v>
      </c>
      <c r="F395">
        <v>7.47</v>
      </c>
      <c r="G395">
        <v>9.26</v>
      </c>
      <c r="H395">
        <v>7.4</v>
      </c>
      <c r="I395" t="s">
        <v>431</v>
      </c>
    </row>
    <row r="396" spans="1:9" x14ac:dyDescent="0.25">
      <c r="A396" t="s">
        <v>869</v>
      </c>
      <c r="B396" t="s">
        <v>429</v>
      </c>
      <c r="C396">
        <v>1</v>
      </c>
      <c r="D396">
        <v>2020</v>
      </c>
      <c r="E396">
        <v>9.8000000000000007</v>
      </c>
      <c r="F396">
        <v>9.69</v>
      </c>
      <c r="G396">
        <v>10.25</v>
      </c>
      <c r="H396">
        <v>9.43</v>
      </c>
      <c r="I396" t="s">
        <v>430</v>
      </c>
    </row>
    <row r="397" spans="1:9" x14ac:dyDescent="0.25">
      <c r="A397" t="s">
        <v>870</v>
      </c>
      <c r="B397" t="s">
        <v>429</v>
      </c>
      <c r="C397">
        <v>1</v>
      </c>
      <c r="D397">
        <v>2021</v>
      </c>
      <c r="E397">
        <v>10.75</v>
      </c>
      <c r="F397">
        <v>11.2</v>
      </c>
      <c r="G397">
        <v>11.4</v>
      </c>
      <c r="H397">
        <v>10.64</v>
      </c>
      <c r="I397" t="s">
        <v>22</v>
      </c>
    </row>
    <row r="398" spans="1:9" x14ac:dyDescent="0.25">
      <c r="A398" t="s">
        <v>871</v>
      </c>
      <c r="B398" t="s">
        <v>429</v>
      </c>
      <c r="C398">
        <v>1</v>
      </c>
      <c r="D398">
        <v>2022</v>
      </c>
      <c r="E398">
        <v>12.81</v>
      </c>
      <c r="F398">
        <v>12.14</v>
      </c>
      <c r="G398">
        <v>12.83</v>
      </c>
      <c r="H398">
        <v>11.98</v>
      </c>
      <c r="I398" t="s">
        <v>149</v>
      </c>
    </row>
    <row r="399" spans="1:9" x14ac:dyDescent="0.25">
      <c r="A399" t="s">
        <v>872</v>
      </c>
      <c r="B399" t="s">
        <v>433</v>
      </c>
      <c r="C399">
        <v>1</v>
      </c>
      <c r="D399">
        <v>2007</v>
      </c>
      <c r="E399">
        <v>2.5099999999999998</v>
      </c>
      <c r="F399">
        <v>2.4300000000000002</v>
      </c>
      <c r="G399">
        <v>2.57</v>
      </c>
      <c r="H399">
        <v>2.2799999999999998</v>
      </c>
      <c r="I399" t="s">
        <v>445</v>
      </c>
    </row>
    <row r="400" spans="1:9" x14ac:dyDescent="0.25">
      <c r="A400" t="s">
        <v>873</v>
      </c>
      <c r="B400" t="s">
        <v>433</v>
      </c>
      <c r="C400">
        <v>1</v>
      </c>
      <c r="D400">
        <v>2008</v>
      </c>
      <c r="E400">
        <v>2.44</v>
      </c>
      <c r="F400">
        <v>3.09</v>
      </c>
      <c r="G400">
        <v>3.11</v>
      </c>
      <c r="H400">
        <v>2.0099999999999998</v>
      </c>
      <c r="I400" t="s">
        <v>446</v>
      </c>
    </row>
    <row r="401" spans="1:9" x14ac:dyDescent="0.25">
      <c r="A401" t="s">
        <v>874</v>
      </c>
      <c r="B401" t="s">
        <v>433</v>
      </c>
      <c r="C401">
        <v>1</v>
      </c>
      <c r="D401">
        <v>2009</v>
      </c>
      <c r="E401">
        <v>2.12</v>
      </c>
      <c r="F401">
        <v>1.98</v>
      </c>
      <c r="G401">
        <v>2.14</v>
      </c>
      <c r="H401">
        <v>1.84</v>
      </c>
      <c r="I401" t="s">
        <v>271</v>
      </c>
    </row>
    <row r="402" spans="1:9" x14ac:dyDescent="0.25">
      <c r="A402" t="s">
        <v>875</v>
      </c>
      <c r="B402" t="s">
        <v>433</v>
      </c>
      <c r="C402">
        <v>1</v>
      </c>
      <c r="D402">
        <v>2010</v>
      </c>
      <c r="E402">
        <v>6.31</v>
      </c>
      <c r="F402">
        <v>6.53</v>
      </c>
      <c r="G402">
        <v>6.53</v>
      </c>
      <c r="H402">
        <v>6.05</v>
      </c>
      <c r="I402" t="s">
        <v>444</v>
      </c>
    </row>
    <row r="403" spans="1:9" x14ac:dyDescent="0.25">
      <c r="A403" t="s">
        <v>876</v>
      </c>
      <c r="B403" t="s">
        <v>433</v>
      </c>
      <c r="C403">
        <v>1</v>
      </c>
      <c r="D403">
        <v>2011</v>
      </c>
      <c r="E403">
        <v>8.9700000000000006</v>
      </c>
      <c r="F403">
        <v>9.14</v>
      </c>
      <c r="G403">
        <v>9.9700000000000006</v>
      </c>
      <c r="H403">
        <v>8.59</v>
      </c>
      <c r="I403" t="s">
        <v>273</v>
      </c>
    </row>
    <row r="404" spans="1:9" x14ac:dyDescent="0.25">
      <c r="A404" t="s">
        <v>877</v>
      </c>
      <c r="B404" t="s">
        <v>433</v>
      </c>
      <c r="C404">
        <v>1</v>
      </c>
      <c r="D404">
        <v>2012</v>
      </c>
      <c r="E404">
        <v>8.4700000000000006</v>
      </c>
      <c r="F404">
        <v>9.34</v>
      </c>
      <c r="G404">
        <v>9.66</v>
      </c>
      <c r="H404">
        <v>8.3800000000000008</v>
      </c>
      <c r="I404" t="s">
        <v>442</v>
      </c>
    </row>
    <row r="405" spans="1:9" x14ac:dyDescent="0.25">
      <c r="A405" t="s">
        <v>878</v>
      </c>
      <c r="B405" t="s">
        <v>433</v>
      </c>
      <c r="C405">
        <v>1</v>
      </c>
      <c r="D405">
        <v>2013</v>
      </c>
      <c r="E405">
        <v>12.46</v>
      </c>
      <c r="F405">
        <v>11.79</v>
      </c>
      <c r="G405">
        <v>12.84</v>
      </c>
      <c r="H405">
        <v>11.34</v>
      </c>
      <c r="I405" t="s">
        <v>443</v>
      </c>
    </row>
    <row r="406" spans="1:9" x14ac:dyDescent="0.25">
      <c r="A406" t="s">
        <v>879</v>
      </c>
      <c r="B406" t="s">
        <v>433</v>
      </c>
      <c r="C406">
        <v>1</v>
      </c>
      <c r="D406">
        <v>2014</v>
      </c>
      <c r="E406">
        <v>9.27</v>
      </c>
      <c r="F406">
        <v>10.82</v>
      </c>
      <c r="G406">
        <v>10.82</v>
      </c>
      <c r="H406">
        <v>9.1</v>
      </c>
      <c r="I406" t="s">
        <v>441</v>
      </c>
    </row>
    <row r="407" spans="1:9" x14ac:dyDescent="0.25">
      <c r="A407" t="s">
        <v>880</v>
      </c>
      <c r="B407" t="s">
        <v>433</v>
      </c>
      <c r="C407">
        <v>1</v>
      </c>
      <c r="D407">
        <v>2015</v>
      </c>
      <c r="E407">
        <v>10.11</v>
      </c>
      <c r="F407">
        <v>10.6</v>
      </c>
      <c r="G407">
        <v>10.9</v>
      </c>
      <c r="H407">
        <v>9.58</v>
      </c>
      <c r="I407" t="s">
        <v>440</v>
      </c>
    </row>
    <row r="408" spans="1:9" x14ac:dyDescent="0.25">
      <c r="A408" t="s">
        <v>881</v>
      </c>
      <c r="B408" t="s">
        <v>433</v>
      </c>
      <c r="C408">
        <v>1</v>
      </c>
      <c r="D408">
        <v>2016</v>
      </c>
      <c r="E408">
        <v>10.09</v>
      </c>
      <c r="F408">
        <v>9.64</v>
      </c>
      <c r="G408">
        <v>10.32</v>
      </c>
      <c r="H408">
        <v>8.75</v>
      </c>
      <c r="I408" t="s">
        <v>439</v>
      </c>
    </row>
    <row r="409" spans="1:9" x14ac:dyDescent="0.25">
      <c r="A409" t="s">
        <v>882</v>
      </c>
      <c r="B409" t="s">
        <v>433</v>
      </c>
      <c r="C409">
        <v>1</v>
      </c>
      <c r="D409">
        <v>2017</v>
      </c>
      <c r="E409">
        <v>8.4</v>
      </c>
      <c r="F409">
        <v>7.73</v>
      </c>
      <c r="G409">
        <v>8.84</v>
      </c>
      <c r="H409">
        <v>7.47</v>
      </c>
      <c r="I409" t="s">
        <v>438</v>
      </c>
    </row>
    <row r="410" spans="1:9" x14ac:dyDescent="0.25">
      <c r="A410" t="s">
        <v>883</v>
      </c>
      <c r="B410" t="s">
        <v>433</v>
      </c>
      <c r="C410">
        <v>1</v>
      </c>
      <c r="D410">
        <v>2018</v>
      </c>
      <c r="E410">
        <v>10.59</v>
      </c>
      <c r="F410">
        <v>9.84</v>
      </c>
      <c r="G410">
        <v>11.05</v>
      </c>
      <c r="H410">
        <v>9.73</v>
      </c>
      <c r="I410" t="s">
        <v>216</v>
      </c>
    </row>
    <row r="411" spans="1:9" x14ac:dyDescent="0.25">
      <c r="A411" t="s">
        <v>884</v>
      </c>
      <c r="B411" t="s">
        <v>433</v>
      </c>
      <c r="C411">
        <v>1</v>
      </c>
      <c r="D411">
        <v>2019</v>
      </c>
      <c r="E411">
        <v>10.96</v>
      </c>
      <c r="F411">
        <v>8.92</v>
      </c>
      <c r="G411">
        <v>11.29</v>
      </c>
      <c r="H411">
        <v>8.91</v>
      </c>
      <c r="I411" t="s">
        <v>437</v>
      </c>
    </row>
    <row r="412" spans="1:9" x14ac:dyDescent="0.25">
      <c r="A412" t="s">
        <v>885</v>
      </c>
      <c r="B412" t="s">
        <v>433</v>
      </c>
      <c r="C412">
        <v>1</v>
      </c>
      <c r="D412">
        <v>2020</v>
      </c>
      <c r="E412">
        <v>24.76</v>
      </c>
      <c r="F412">
        <v>21.64</v>
      </c>
      <c r="G412">
        <v>24.84</v>
      </c>
      <c r="H412">
        <v>21.53</v>
      </c>
      <c r="I412" t="s">
        <v>436</v>
      </c>
    </row>
    <row r="413" spans="1:9" x14ac:dyDescent="0.25">
      <c r="A413" t="s">
        <v>886</v>
      </c>
      <c r="B413" t="s">
        <v>433</v>
      </c>
      <c r="C413">
        <v>1</v>
      </c>
      <c r="D413">
        <v>2021</v>
      </c>
      <c r="E413">
        <v>28.4</v>
      </c>
      <c r="F413">
        <v>28.91</v>
      </c>
      <c r="G413">
        <v>30.95</v>
      </c>
      <c r="H413">
        <v>25.85</v>
      </c>
      <c r="I413" t="s">
        <v>435</v>
      </c>
    </row>
    <row r="414" spans="1:9" x14ac:dyDescent="0.25">
      <c r="A414" t="s">
        <v>887</v>
      </c>
      <c r="B414" t="s">
        <v>433</v>
      </c>
      <c r="C414">
        <v>1</v>
      </c>
      <c r="D414">
        <v>2022</v>
      </c>
      <c r="E414">
        <v>29.07</v>
      </c>
      <c r="F414">
        <v>28.64</v>
      </c>
      <c r="G414">
        <v>29.77</v>
      </c>
      <c r="H414">
        <v>23.96</v>
      </c>
      <c r="I414" t="s">
        <v>434</v>
      </c>
    </row>
    <row r="415" spans="1:9" x14ac:dyDescent="0.25">
      <c r="A415" t="s">
        <v>888</v>
      </c>
      <c r="B415" t="s">
        <v>447</v>
      </c>
      <c r="C415">
        <v>1</v>
      </c>
      <c r="D415">
        <v>2018</v>
      </c>
      <c r="E415">
        <v>7.09</v>
      </c>
      <c r="F415">
        <v>6.34</v>
      </c>
      <c r="G415">
        <v>7.17</v>
      </c>
      <c r="H415">
        <v>6.33</v>
      </c>
      <c r="I415" t="s">
        <v>449</v>
      </c>
    </row>
    <row r="416" spans="1:9" x14ac:dyDescent="0.25">
      <c r="A416" t="s">
        <v>889</v>
      </c>
      <c r="B416" t="s">
        <v>447</v>
      </c>
      <c r="C416">
        <v>1</v>
      </c>
      <c r="D416">
        <v>2019</v>
      </c>
      <c r="E416">
        <v>6.93</v>
      </c>
      <c r="F416">
        <v>7.22</v>
      </c>
      <c r="G416">
        <v>7.96</v>
      </c>
      <c r="H416">
        <v>6.68</v>
      </c>
      <c r="I416" t="s">
        <v>349</v>
      </c>
    </row>
    <row r="417" spans="1:9" x14ac:dyDescent="0.25">
      <c r="A417" t="s">
        <v>890</v>
      </c>
      <c r="B417" t="s">
        <v>447</v>
      </c>
      <c r="C417">
        <v>1</v>
      </c>
      <c r="D417">
        <v>2020</v>
      </c>
      <c r="E417">
        <v>17.43</v>
      </c>
      <c r="F417">
        <v>10.85</v>
      </c>
      <c r="G417">
        <v>17.43</v>
      </c>
      <c r="H417">
        <v>10.85</v>
      </c>
      <c r="I417" t="s">
        <v>448</v>
      </c>
    </row>
    <row r="418" spans="1:9" x14ac:dyDescent="0.25">
      <c r="A418" t="s">
        <v>891</v>
      </c>
      <c r="B418" t="s">
        <v>447</v>
      </c>
      <c r="C418">
        <v>1</v>
      </c>
      <c r="D418">
        <v>2021</v>
      </c>
      <c r="E418">
        <v>136.04</v>
      </c>
      <c r="F418">
        <v>115.98</v>
      </c>
      <c r="G418">
        <v>152</v>
      </c>
      <c r="H418">
        <v>115.52</v>
      </c>
      <c r="I418" t="s">
        <v>182</v>
      </c>
    </row>
    <row r="419" spans="1:9" x14ac:dyDescent="0.25">
      <c r="A419" t="s">
        <v>892</v>
      </c>
      <c r="B419" t="s">
        <v>447</v>
      </c>
      <c r="C419">
        <v>1</v>
      </c>
      <c r="D419">
        <v>2022</v>
      </c>
      <c r="E419">
        <v>154.28</v>
      </c>
      <c r="F419">
        <v>197</v>
      </c>
      <c r="G419">
        <v>214.97</v>
      </c>
      <c r="H419">
        <v>133.4</v>
      </c>
      <c r="I419" t="s">
        <v>138</v>
      </c>
    </row>
    <row r="420" spans="1:9" x14ac:dyDescent="0.25">
      <c r="A420" t="s">
        <v>893</v>
      </c>
      <c r="B420" t="s">
        <v>450</v>
      </c>
      <c r="C420">
        <v>1</v>
      </c>
      <c r="D420">
        <v>2020</v>
      </c>
      <c r="E420">
        <v>29</v>
      </c>
      <c r="F420">
        <v>28.67</v>
      </c>
      <c r="G420">
        <v>30.16</v>
      </c>
      <c r="H420">
        <v>28.63</v>
      </c>
      <c r="I420" t="s">
        <v>69</v>
      </c>
    </row>
    <row r="421" spans="1:9" x14ac:dyDescent="0.25">
      <c r="A421" t="s">
        <v>894</v>
      </c>
      <c r="B421" t="s">
        <v>450</v>
      </c>
      <c r="C421">
        <v>1</v>
      </c>
      <c r="D421">
        <v>2021</v>
      </c>
      <c r="E421">
        <v>83.84</v>
      </c>
      <c r="F421">
        <v>71.25</v>
      </c>
      <c r="G421">
        <v>90.89</v>
      </c>
      <c r="H421">
        <v>71.25</v>
      </c>
      <c r="I421" t="s">
        <v>451</v>
      </c>
    </row>
    <row r="422" spans="1:9" x14ac:dyDescent="0.25">
      <c r="A422" t="s">
        <v>895</v>
      </c>
      <c r="B422" t="s">
        <v>450</v>
      </c>
      <c r="C422">
        <v>1</v>
      </c>
      <c r="D422">
        <v>2022</v>
      </c>
      <c r="E422">
        <v>81.34</v>
      </c>
      <c r="F422">
        <v>86.25</v>
      </c>
      <c r="G422">
        <v>99.76</v>
      </c>
      <c r="H422">
        <v>76.87</v>
      </c>
      <c r="I422" t="s">
        <v>235</v>
      </c>
    </row>
    <row r="423" spans="1:9" x14ac:dyDescent="0.25">
      <c r="A423" t="s">
        <v>896</v>
      </c>
      <c r="B423" t="s">
        <v>452</v>
      </c>
      <c r="C423">
        <v>1</v>
      </c>
      <c r="D423">
        <v>2020</v>
      </c>
      <c r="E423">
        <v>31.47</v>
      </c>
      <c r="F423">
        <v>29.29</v>
      </c>
      <c r="G423">
        <v>32.76</v>
      </c>
      <c r="H423">
        <v>27.26</v>
      </c>
      <c r="I423" t="s">
        <v>455</v>
      </c>
    </row>
    <row r="424" spans="1:9" x14ac:dyDescent="0.25">
      <c r="A424" t="s">
        <v>897</v>
      </c>
      <c r="B424" t="s">
        <v>452</v>
      </c>
      <c r="C424">
        <v>1</v>
      </c>
      <c r="D424">
        <v>2021</v>
      </c>
      <c r="E424">
        <v>25.48</v>
      </c>
      <c r="F424">
        <v>29.46</v>
      </c>
      <c r="G424">
        <v>29.46</v>
      </c>
      <c r="H424">
        <v>25.03</v>
      </c>
      <c r="I424" t="s">
        <v>454</v>
      </c>
    </row>
    <row r="425" spans="1:9" x14ac:dyDescent="0.25">
      <c r="A425" t="s">
        <v>898</v>
      </c>
      <c r="B425" t="s">
        <v>452</v>
      </c>
      <c r="C425">
        <v>1</v>
      </c>
      <c r="D425">
        <v>2022</v>
      </c>
      <c r="E425">
        <v>26.3</v>
      </c>
      <c r="F425">
        <v>25.44</v>
      </c>
      <c r="G425">
        <v>26.3</v>
      </c>
      <c r="H425">
        <v>20.85</v>
      </c>
      <c r="I425" t="s">
        <v>453</v>
      </c>
    </row>
    <row r="426" spans="1:9" x14ac:dyDescent="0.25">
      <c r="A426" t="s">
        <v>899</v>
      </c>
      <c r="B426" t="s">
        <v>456</v>
      </c>
      <c r="C426">
        <v>1</v>
      </c>
      <c r="D426">
        <v>2003</v>
      </c>
      <c r="E426">
        <v>0.28000000000000003</v>
      </c>
      <c r="F426">
        <v>0.28000000000000003</v>
      </c>
      <c r="G426">
        <v>0.28000000000000003</v>
      </c>
      <c r="H426">
        <v>0.28000000000000003</v>
      </c>
      <c r="I426" t="s">
        <v>8</v>
      </c>
    </row>
    <row r="427" spans="1:9" x14ac:dyDescent="0.25">
      <c r="A427" t="s">
        <v>900</v>
      </c>
      <c r="B427" t="s">
        <v>456</v>
      </c>
      <c r="C427">
        <v>1</v>
      </c>
      <c r="D427">
        <v>2004</v>
      </c>
      <c r="E427">
        <v>0.56000000000000005</v>
      </c>
      <c r="F427">
        <v>0.56000000000000005</v>
      </c>
      <c r="G427">
        <v>0.56000000000000005</v>
      </c>
      <c r="H427">
        <v>0.56000000000000005</v>
      </c>
      <c r="I427" t="s">
        <v>64</v>
      </c>
    </row>
    <row r="428" spans="1:9" x14ac:dyDescent="0.25">
      <c r="A428" t="s">
        <v>901</v>
      </c>
      <c r="B428" t="s">
        <v>456</v>
      </c>
      <c r="C428">
        <v>1</v>
      </c>
      <c r="D428">
        <v>2007</v>
      </c>
      <c r="E428">
        <v>2.69</v>
      </c>
      <c r="F428">
        <v>1.51</v>
      </c>
      <c r="G428">
        <v>2.69</v>
      </c>
      <c r="H428">
        <v>1.51</v>
      </c>
      <c r="I428" t="s">
        <v>471</v>
      </c>
    </row>
    <row r="429" spans="1:9" x14ac:dyDescent="0.25">
      <c r="A429" t="s">
        <v>902</v>
      </c>
      <c r="B429" t="s">
        <v>456</v>
      </c>
      <c r="C429">
        <v>1</v>
      </c>
      <c r="D429">
        <v>2008</v>
      </c>
      <c r="E429">
        <v>2.29</v>
      </c>
      <c r="F429">
        <v>2.75</v>
      </c>
      <c r="G429">
        <v>2.75</v>
      </c>
      <c r="H429">
        <v>1.97</v>
      </c>
      <c r="I429" t="s">
        <v>470</v>
      </c>
    </row>
    <row r="430" spans="1:9" x14ac:dyDescent="0.25">
      <c r="A430" t="s">
        <v>903</v>
      </c>
      <c r="B430" t="s">
        <v>456</v>
      </c>
      <c r="C430">
        <v>1</v>
      </c>
      <c r="D430">
        <v>2009</v>
      </c>
      <c r="E430">
        <v>1.29</v>
      </c>
      <c r="F430">
        <v>1.39</v>
      </c>
      <c r="G430">
        <v>1.5</v>
      </c>
      <c r="H430">
        <v>1.28</v>
      </c>
      <c r="I430" t="s">
        <v>469</v>
      </c>
    </row>
    <row r="431" spans="1:9" x14ac:dyDescent="0.25">
      <c r="A431" t="s">
        <v>904</v>
      </c>
      <c r="B431" t="s">
        <v>456</v>
      </c>
      <c r="C431">
        <v>1</v>
      </c>
      <c r="D431">
        <v>2010</v>
      </c>
      <c r="E431">
        <v>2.0699999999999998</v>
      </c>
      <c r="F431">
        <v>2.12</v>
      </c>
      <c r="G431">
        <v>2.2599999999999998</v>
      </c>
      <c r="H431">
        <v>1.98</v>
      </c>
      <c r="I431" t="s">
        <v>468</v>
      </c>
    </row>
    <row r="432" spans="1:9" x14ac:dyDescent="0.25">
      <c r="A432" t="s">
        <v>905</v>
      </c>
      <c r="B432" t="s">
        <v>456</v>
      </c>
      <c r="C432">
        <v>1</v>
      </c>
      <c r="D432">
        <v>2011</v>
      </c>
      <c r="E432">
        <v>2.35</v>
      </c>
      <c r="F432">
        <v>2.6</v>
      </c>
      <c r="G432">
        <v>2.65</v>
      </c>
      <c r="H432">
        <v>2.31</v>
      </c>
      <c r="I432" t="s">
        <v>467</v>
      </c>
    </row>
    <row r="433" spans="1:9" x14ac:dyDescent="0.25">
      <c r="A433" t="s">
        <v>906</v>
      </c>
      <c r="B433" t="s">
        <v>456</v>
      </c>
      <c r="C433">
        <v>1</v>
      </c>
      <c r="D433">
        <v>2012</v>
      </c>
      <c r="E433">
        <v>2.37</v>
      </c>
      <c r="F433">
        <v>2.3199999999999998</v>
      </c>
      <c r="G433">
        <v>2.44</v>
      </c>
      <c r="H433">
        <v>2.27</v>
      </c>
      <c r="I433" t="s">
        <v>368</v>
      </c>
    </row>
    <row r="434" spans="1:9" x14ac:dyDescent="0.25">
      <c r="A434" t="s">
        <v>907</v>
      </c>
      <c r="B434" t="s">
        <v>456</v>
      </c>
      <c r="C434">
        <v>1</v>
      </c>
      <c r="D434">
        <v>2013</v>
      </c>
      <c r="E434">
        <v>3.16</v>
      </c>
      <c r="F434">
        <v>3.41</v>
      </c>
      <c r="G434">
        <v>3.71</v>
      </c>
      <c r="H434">
        <v>3.16</v>
      </c>
      <c r="I434" t="s">
        <v>466</v>
      </c>
    </row>
    <row r="435" spans="1:9" x14ac:dyDescent="0.25">
      <c r="A435" t="s">
        <v>908</v>
      </c>
      <c r="B435" t="s">
        <v>456</v>
      </c>
      <c r="C435">
        <v>1</v>
      </c>
      <c r="D435">
        <v>2014</v>
      </c>
      <c r="E435">
        <v>3.51</v>
      </c>
      <c r="F435">
        <v>4</v>
      </c>
      <c r="G435">
        <v>4.01</v>
      </c>
      <c r="H435">
        <v>3.49</v>
      </c>
      <c r="I435" t="s">
        <v>465</v>
      </c>
    </row>
    <row r="436" spans="1:9" x14ac:dyDescent="0.25">
      <c r="A436" t="s">
        <v>909</v>
      </c>
      <c r="B436" t="s">
        <v>456</v>
      </c>
      <c r="C436">
        <v>1</v>
      </c>
      <c r="D436">
        <v>2015</v>
      </c>
      <c r="E436">
        <v>5.46</v>
      </c>
      <c r="F436">
        <v>5.25</v>
      </c>
      <c r="G436">
        <v>5.71</v>
      </c>
      <c r="H436">
        <v>5.09</v>
      </c>
      <c r="I436" t="s">
        <v>464</v>
      </c>
    </row>
    <row r="437" spans="1:9" x14ac:dyDescent="0.25">
      <c r="A437" t="s">
        <v>910</v>
      </c>
      <c r="B437" t="s">
        <v>456</v>
      </c>
      <c r="C437">
        <v>1</v>
      </c>
      <c r="D437">
        <v>2016</v>
      </c>
      <c r="E437">
        <v>5.4</v>
      </c>
      <c r="F437">
        <v>5.19</v>
      </c>
      <c r="G437">
        <v>5.47</v>
      </c>
      <c r="H437">
        <v>4.6900000000000004</v>
      </c>
      <c r="I437" t="s">
        <v>463</v>
      </c>
    </row>
    <row r="438" spans="1:9" x14ac:dyDescent="0.25">
      <c r="A438" t="s">
        <v>911</v>
      </c>
      <c r="B438" t="s">
        <v>456</v>
      </c>
      <c r="C438">
        <v>1</v>
      </c>
      <c r="D438">
        <v>2017</v>
      </c>
      <c r="E438">
        <v>5.7</v>
      </c>
      <c r="F438">
        <v>5.52</v>
      </c>
      <c r="G438">
        <v>5.85</v>
      </c>
      <c r="H438">
        <v>5.3</v>
      </c>
      <c r="I438" t="s">
        <v>462</v>
      </c>
    </row>
    <row r="439" spans="1:9" x14ac:dyDescent="0.25">
      <c r="A439" t="s">
        <v>912</v>
      </c>
      <c r="B439" t="s">
        <v>456</v>
      </c>
      <c r="C439">
        <v>1</v>
      </c>
      <c r="D439">
        <v>2018</v>
      </c>
      <c r="E439">
        <v>8.66</v>
      </c>
      <c r="F439">
        <v>8.9</v>
      </c>
      <c r="G439">
        <v>9.6</v>
      </c>
      <c r="H439">
        <v>8.59</v>
      </c>
      <c r="I439" t="s">
        <v>461</v>
      </c>
    </row>
    <row r="440" spans="1:9" x14ac:dyDescent="0.25">
      <c r="A440" t="s">
        <v>913</v>
      </c>
      <c r="B440" t="s">
        <v>456</v>
      </c>
      <c r="C440">
        <v>1</v>
      </c>
      <c r="D440">
        <v>2019</v>
      </c>
      <c r="E440">
        <v>9.11</v>
      </c>
      <c r="F440">
        <v>8.52</v>
      </c>
      <c r="G440">
        <v>9.49</v>
      </c>
      <c r="H440">
        <v>8.4600000000000009</v>
      </c>
      <c r="I440" t="s">
        <v>460</v>
      </c>
    </row>
    <row r="441" spans="1:9" x14ac:dyDescent="0.25">
      <c r="A441" t="s">
        <v>914</v>
      </c>
      <c r="B441" t="s">
        <v>456</v>
      </c>
      <c r="C441">
        <v>1</v>
      </c>
      <c r="D441">
        <v>2020</v>
      </c>
      <c r="E441">
        <v>19.350000000000001</v>
      </c>
      <c r="F441">
        <v>17.14</v>
      </c>
      <c r="G441">
        <v>21.74</v>
      </c>
      <c r="H441">
        <v>16.309999999999999</v>
      </c>
      <c r="I441" t="s">
        <v>459</v>
      </c>
    </row>
    <row r="442" spans="1:9" x14ac:dyDescent="0.25">
      <c r="A442" t="s">
        <v>915</v>
      </c>
      <c r="B442" t="s">
        <v>456</v>
      </c>
      <c r="C442">
        <v>1</v>
      </c>
      <c r="D442">
        <v>2021</v>
      </c>
      <c r="E442">
        <v>41.48</v>
      </c>
      <c r="F442">
        <v>37.549999999999997</v>
      </c>
      <c r="G442">
        <v>46.46</v>
      </c>
      <c r="H442">
        <v>36.630000000000003</v>
      </c>
      <c r="I442" t="s">
        <v>458</v>
      </c>
    </row>
    <row r="443" spans="1:9" x14ac:dyDescent="0.25">
      <c r="A443" t="s">
        <v>916</v>
      </c>
      <c r="B443" t="s">
        <v>456</v>
      </c>
      <c r="C443">
        <v>1</v>
      </c>
      <c r="D443">
        <v>2022</v>
      </c>
      <c r="E443">
        <v>32.159999999999997</v>
      </c>
      <c r="F443">
        <v>32.72</v>
      </c>
      <c r="G443">
        <v>33.479999999999997</v>
      </c>
      <c r="H443">
        <v>28.13</v>
      </c>
      <c r="I443" t="s">
        <v>457</v>
      </c>
    </row>
    <row r="444" spans="1:9" x14ac:dyDescent="0.25">
      <c r="A444" t="s">
        <v>925</v>
      </c>
    </row>
  </sheetData>
  <autoFilter ref="A1:I444" xr:uid="{4A647559-4E74-4390-A065-08962BDD665B}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301A9-5852-4F81-B355-F3FBEBD84332}">
  <sheetPr codeName="Planilha2"/>
  <dimension ref="A1:AL29"/>
  <sheetViews>
    <sheetView workbookViewId="0"/>
  </sheetViews>
  <sheetFormatPr defaultRowHeight="15" x14ac:dyDescent="0.25"/>
  <cols>
    <col min="1" max="1" width="6.85546875" bestFit="1" customWidth="1"/>
    <col min="2" max="2" width="8.5703125" bestFit="1" customWidth="1"/>
    <col min="3" max="3" width="9.42578125" bestFit="1" customWidth="1"/>
    <col min="4" max="4" width="8.7109375" bestFit="1" customWidth="1"/>
    <col min="5" max="5" width="8.28515625" bestFit="1" customWidth="1"/>
    <col min="6" max="7" width="8.7109375" bestFit="1" customWidth="1"/>
    <col min="8" max="8" width="8.28515625" bestFit="1" customWidth="1"/>
    <col min="9" max="9" width="8.140625" bestFit="1" customWidth="1"/>
    <col min="10" max="10" width="9" bestFit="1" customWidth="1"/>
    <col min="11" max="11" width="8.85546875" bestFit="1" customWidth="1"/>
    <col min="12" max="12" width="9.140625" bestFit="1" customWidth="1"/>
    <col min="13" max="13" width="8.5703125" bestFit="1" customWidth="1"/>
    <col min="14" max="14" width="8.7109375" bestFit="1" customWidth="1"/>
    <col min="15" max="15" width="9.42578125" bestFit="1" customWidth="1"/>
    <col min="16" max="16" width="9.28515625" bestFit="1" customWidth="1"/>
    <col min="17" max="17" width="9" bestFit="1" customWidth="1"/>
    <col min="18" max="19" width="8.7109375" bestFit="1" customWidth="1"/>
    <col min="20" max="20" width="8.5703125" bestFit="1" customWidth="1"/>
    <col min="21" max="21" width="10.42578125" bestFit="1" customWidth="1"/>
    <col min="22" max="22" width="10" bestFit="1" customWidth="1"/>
    <col min="23" max="23" width="9.42578125" bestFit="1" customWidth="1"/>
    <col min="24" max="24" width="10.7109375" bestFit="1" customWidth="1"/>
    <col min="25" max="25" width="10.140625" bestFit="1" customWidth="1"/>
    <col min="26" max="26" width="10" bestFit="1" customWidth="1"/>
    <col min="27" max="27" width="9.28515625" bestFit="1" customWidth="1"/>
    <col min="28" max="28" width="10" bestFit="1" customWidth="1"/>
    <col min="29" max="29" width="9.42578125" bestFit="1" customWidth="1"/>
    <col min="30" max="30" width="9.7109375" bestFit="1" customWidth="1"/>
    <col min="31" max="31" width="10.5703125" bestFit="1" customWidth="1"/>
    <col min="32" max="32" width="10.7109375" bestFit="1" customWidth="1"/>
    <col min="33" max="33" width="10.28515625" bestFit="1" customWidth="1"/>
    <col min="34" max="34" width="9.85546875" bestFit="1" customWidth="1"/>
    <col min="35" max="35" width="10.140625" bestFit="1" customWidth="1"/>
    <col min="36" max="36" width="9.85546875" bestFit="1" customWidth="1"/>
    <col min="37" max="37" width="10" bestFit="1" customWidth="1"/>
    <col min="38" max="38" width="10.140625" bestFit="1" customWidth="1"/>
  </cols>
  <sheetData>
    <row r="1" spans="1:38" x14ac:dyDescent="0.25">
      <c r="A1" t="s">
        <v>473</v>
      </c>
      <c r="B1" s="8" t="s">
        <v>370</v>
      </c>
      <c r="C1" s="8" t="s">
        <v>456</v>
      </c>
      <c r="D1" s="8" t="s">
        <v>299</v>
      </c>
      <c r="E1" s="8" t="s">
        <v>269</v>
      </c>
      <c r="F1" s="8" t="s">
        <v>98</v>
      </c>
      <c r="G1" s="8" t="s">
        <v>404</v>
      </c>
      <c r="H1" s="8" t="s">
        <v>214</v>
      </c>
      <c r="I1" s="8" t="s">
        <v>195</v>
      </c>
      <c r="J1" s="8" t="s">
        <v>35</v>
      </c>
      <c r="K1" s="8" t="s">
        <v>117</v>
      </c>
      <c r="L1" s="8" t="s">
        <v>228</v>
      </c>
      <c r="M1" s="8" t="s">
        <v>394</v>
      </c>
      <c r="N1" s="8" t="s">
        <v>433</v>
      </c>
      <c r="O1" s="8" t="s">
        <v>356</v>
      </c>
      <c r="P1" s="8" t="s">
        <v>255</v>
      </c>
      <c r="Q1" s="8" t="s">
        <v>150</v>
      </c>
      <c r="R1" s="8" t="s">
        <v>452</v>
      </c>
      <c r="S1" s="8" t="s">
        <v>82</v>
      </c>
      <c r="T1" s="8" t="s">
        <v>429</v>
      </c>
      <c r="U1" s="9" t="s">
        <v>353</v>
      </c>
      <c r="V1" s="9" t="s">
        <v>326</v>
      </c>
      <c r="W1" s="9" t="s">
        <v>447</v>
      </c>
      <c r="X1" s="9" t="s">
        <v>70</v>
      </c>
      <c r="Y1" s="9" t="s">
        <v>250</v>
      </c>
      <c r="Z1" s="9" t="s">
        <v>290</v>
      </c>
      <c r="AA1" s="9" t="s">
        <v>183</v>
      </c>
      <c r="AB1" s="9" t="s">
        <v>65</v>
      </c>
      <c r="AC1" s="9" t="s">
        <v>343</v>
      </c>
      <c r="AD1" s="9" t="s">
        <v>335</v>
      </c>
      <c r="AE1" s="9" t="s">
        <v>318</v>
      </c>
      <c r="AF1" s="9" t="s">
        <v>262</v>
      </c>
      <c r="AG1" s="9" t="s">
        <v>178</v>
      </c>
      <c r="AH1" s="9" t="s">
        <v>421</v>
      </c>
      <c r="AI1" s="9" t="s">
        <v>450</v>
      </c>
      <c r="AJ1" s="9" t="s">
        <v>9</v>
      </c>
      <c r="AK1" s="9" t="s">
        <v>425</v>
      </c>
      <c r="AL1" s="9" t="s">
        <v>113</v>
      </c>
    </row>
    <row r="2" spans="1:38" x14ac:dyDescent="0.25">
      <c r="A2">
        <v>1997</v>
      </c>
      <c r="B2" s="4">
        <f>IFERROR(INDEX(ativos!$E$2:$E$443,MATCH(preços!B$1&amp;preços!$A2,ativos!$A$2:$A$443,0),1),0)</f>
        <v>1.63</v>
      </c>
      <c r="C2" s="4">
        <f>IFERROR(INDEX(ativos!$E$2:$E$443,MATCH(preços!C$1&amp;preços!$A2,ativos!$A$2:$A$443,0),1),0)</f>
        <v>0</v>
      </c>
      <c r="D2" s="4">
        <f>IFERROR(INDEX(ativos!$E$2:$E$443,MATCH(preços!D$1&amp;preços!$A2,ativos!$A$2:$A$443,0),1),0)</f>
        <v>1.1399999999999999</v>
      </c>
      <c r="E2" s="4">
        <f>IFERROR(INDEX(ativos!$E$2:$E$443,MATCH(preços!E$1&amp;preços!$A2,ativos!$A$2:$A$443,0),1),0)</f>
        <v>0.35</v>
      </c>
      <c r="F2" s="4">
        <f>IFERROR(INDEX(ativos!$E$2:$E$443,MATCH(preços!F$1&amp;preços!$A2,ativos!$A$2:$A$443,0),1),0)</f>
        <v>0</v>
      </c>
      <c r="G2" s="4">
        <f>IFERROR(INDEX(ativos!$E$2:$E$443,MATCH(preços!G$1&amp;preços!$A2,ativos!$A$2:$A$443,0),1),0)</f>
        <v>0</v>
      </c>
      <c r="H2" s="4">
        <f>IFERROR(INDEX(ativos!$E$2:$E$443,MATCH(preços!H$1&amp;preços!$A2,ativos!$A$2:$A$443,0),1),0)</f>
        <v>0</v>
      </c>
      <c r="I2" s="4">
        <f>IFERROR(INDEX(ativos!$E$2:$E$443,MATCH(preços!I$1&amp;preços!$A2,ativos!$A$2:$A$443,0),1),0)</f>
        <v>0</v>
      </c>
      <c r="J2" s="4">
        <f>IFERROR(INDEX(ativos!$E$2:$E$443,MATCH(preços!J$1&amp;preços!$A2,ativos!$A$2:$A$443,0),1),0)</f>
        <v>0</v>
      </c>
      <c r="K2" s="4">
        <f>IFERROR(INDEX(ativos!$E$2:$E$443,MATCH(preços!K$1&amp;preços!$A2,ativos!$A$2:$A$443,0),1),0)</f>
        <v>1.49</v>
      </c>
      <c r="L2" s="4">
        <f>IFERROR(INDEX(ativos!$E$2:$E$443,MATCH(preços!L$1&amp;preços!$A2,ativos!$A$2:$A$443,0),1),0)</f>
        <v>0.25</v>
      </c>
      <c r="M2" s="4">
        <f>IFERROR(INDEX(ativos!$E$2:$E$443,MATCH(preços!M$1&amp;preços!$A2,ativos!$A$2:$A$443,0),1),0)</f>
        <v>0</v>
      </c>
      <c r="N2" s="4">
        <f>IFERROR(INDEX(ativos!$E$2:$E$443,MATCH(preços!N$1&amp;preços!$A2,ativos!$A$2:$A$443,0),1),0)</f>
        <v>0</v>
      </c>
      <c r="O2" s="4">
        <f>IFERROR(INDEX(ativos!$E$2:$E$443,MATCH(preços!O$1&amp;preços!$A2,ativos!$A$2:$A$443,0),1),0)</f>
        <v>0</v>
      </c>
      <c r="P2" s="4">
        <f>IFERROR(INDEX(ativos!$E$2:$E$443,MATCH(preços!P$1&amp;preços!$A2,ativos!$A$2:$A$443,0),1),0)</f>
        <v>0</v>
      </c>
      <c r="Q2" s="4">
        <f>IFERROR(INDEX(ativos!$E$2:$E$443,MATCH(preços!Q$1&amp;preços!$A2,ativos!$A$2:$A$443,0),1),0)</f>
        <v>0.86</v>
      </c>
      <c r="R2" s="4">
        <f>IFERROR(INDEX(ativos!$E$2:$E$443,MATCH(preços!R$1&amp;preços!$A2,ativos!$A$2:$A$443,0),1),0)</f>
        <v>0</v>
      </c>
      <c r="S2" s="4">
        <f>IFERROR(INDEX(ativos!$E$2:$E$443,MATCH(preços!S$1&amp;preços!$A2,ativos!$A$2:$A$443,0),1),0)</f>
        <v>0</v>
      </c>
      <c r="T2" s="4">
        <f>IFERROR(INDEX(ativos!$E$2:$E$443,MATCH(preços!T$1&amp;preços!$A2,ativos!$A$2:$A$443,0),1),0)</f>
        <v>0</v>
      </c>
      <c r="U2" s="4">
        <f>IFERROR(INDEX(ativos!$E$2:$E$443,MATCH(preços!U$1&amp;preços!$A2,ativos!$A$2:$A$443,0),1),0)</f>
        <v>0</v>
      </c>
      <c r="V2" s="4">
        <f>IFERROR(INDEX(ativos!$E$2:$E$443,MATCH(preços!V$1&amp;preços!$A2,ativos!$A$2:$A$443,0),1),0)</f>
        <v>0</v>
      </c>
      <c r="W2" s="4">
        <f>IFERROR(INDEX(ativos!$E$2:$E$443,MATCH(preços!W$1&amp;preços!$A2,ativos!$A$2:$A$443,0),1),0)</f>
        <v>0</v>
      </c>
      <c r="X2" s="4">
        <f>IFERROR(INDEX(ativos!$E$2:$E$443,MATCH(preços!X$1&amp;preços!$A2,ativos!$A$2:$A$443,0),1),0)</f>
        <v>0</v>
      </c>
      <c r="Y2" s="4">
        <f>IFERROR(INDEX(ativos!$E$2:$E$443,MATCH(preços!Y$1&amp;preços!$A2,ativos!$A$2:$A$443,0),1),0)</f>
        <v>0</v>
      </c>
      <c r="Z2" s="4">
        <f>IFERROR(INDEX(ativos!$E$2:$E$443,MATCH(preços!Z$1&amp;preços!$A2,ativos!$A$2:$A$443,0),1),0)</f>
        <v>0</v>
      </c>
      <c r="AA2" s="4">
        <f>IFERROR(INDEX(ativos!$E$2:$E$443,MATCH(preços!AA$1&amp;preços!$A2,ativos!$A$2:$A$443,0),1),0)</f>
        <v>0</v>
      </c>
      <c r="AB2" s="4">
        <f>IFERROR(INDEX(ativos!$E$2:$E$443,MATCH(preços!AB$1&amp;preços!$A2,ativos!$A$2:$A$443,0),1),0)</f>
        <v>0</v>
      </c>
      <c r="AC2" s="4">
        <f>IFERROR(INDEX(ativos!$E$2:$E$443,MATCH(preços!AC$1&amp;preços!$A2,ativos!$A$2:$A$443,0),1),0)</f>
        <v>0</v>
      </c>
      <c r="AD2" s="4">
        <f>IFERROR(INDEX(ativos!$E$2:$E$443,MATCH(preços!AD$1&amp;preços!$A2,ativos!$A$2:$A$443,0),1),0)</f>
        <v>0</v>
      </c>
      <c r="AE2" s="4">
        <f>IFERROR(INDEX(ativos!$E$2:$E$443,MATCH(preços!AE$1&amp;preços!$A2,ativos!$A$2:$A$443,0),1),0)</f>
        <v>0</v>
      </c>
      <c r="AF2" s="4">
        <f>IFERROR(INDEX(ativos!$E$2:$E$443,MATCH(preços!AF$1&amp;preços!$A2,ativos!$A$2:$A$443,0),1),0)</f>
        <v>0</v>
      </c>
      <c r="AG2" s="4">
        <f>IFERROR(INDEX(ativos!$E$2:$E$443,MATCH(preços!AG$1&amp;preços!$A2,ativos!$A$2:$A$443,0),1),0)</f>
        <v>0</v>
      </c>
      <c r="AH2" s="4">
        <f>IFERROR(INDEX(ativos!$E$2:$E$443,MATCH(preços!AH$1&amp;preços!$A2,ativos!$A$2:$A$443,0),1),0)</f>
        <v>0</v>
      </c>
      <c r="AI2" s="4">
        <f>IFERROR(INDEX(ativos!$E$2:$E$443,MATCH(preços!AI$1&amp;preços!$A2,ativos!$A$2:$A$443,0),1),0)</f>
        <v>0</v>
      </c>
      <c r="AJ2" s="4">
        <f>IFERROR(INDEX(ativos!$E$2:$E$443,MATCH(preços!AJ$1&amp;preços!$A2,ativos!$A$2:$A$443,0),1),0)</f>
        <v>0</v>
      </c>
      <c r="AK2" s="4">
        <f>IFERROR(INDEX(ativos!$E$2:$E$443,MATCH(preços!AK$1&amp;preços!$A2,ativos!$A$2:$A$443,0),1),0)</f>
        <v>0</v>
      </c>
      <c r="AL2" s="4">
        <f>IFERROR(INDEX(ativos!$E$2:$E$443,MATCH(preços!AL$1&amp;preços!$A2,ativos!$A$2:$A$443,0),1),0)</f>
        <v>0</v>
      </c>
    </row>
    <row r="3" spans="1:38" x14ac:dyDescent="0.25">
      <c r="A3">
        <v>1998</v>
      </c>
      <c r="B3" s="4">
        <f>IFERROR(INDEX(ativos!$E$2:$E$443,MATCH(preços!B$1&amp;preços!$A3,ativos!$A$2:$A$443,0),1),0)</f>
        <v>1.9</v>
      </c>
      <c r="C3" s="4">
        <f>IFERROR(INDEX(ativos!$E$2:$E$443,MATCH(preços!C$1&amp;preços!$A3,ativos!$A$2:$A$443,0),1),0)</f>
        <v>0</v>
      </c>
      <c r="D3" s="4">
        <f>IFERROR(INDEX(ativos!$E$2:$E$443,MATCH(preços!D$1&amp;preços!$A3,ativos!$A$2:$A$443,0),1),0)</f>
        <v>0</v>
      </c>
      <c r="E3" s="4">
        <f>IFERROR(INDEX(ativos!$E$2:$E$443,MATCH(preços!E$1&amp;preços!$A3,ativos!$A$2:$A$443,0),1),0)</f>
        <v>0.4</v>
      </c>
      <c r="F3" s="4">
        <f>IFERROR(INDEX(ativos!$E$2:$E$443,MATCH(preços!F$1&amp;preços!$A3,ativos!$A$2:$A$443,0),1),0)</f>
        <v>0</v>
      </c>
      <c r="G3" s="4">
        <f>IFERROR(INDEX(ativos!$E$2:$E$443,MATCH(preços!G$1&amp;preços!$A3,ativos!$A$2:$A$443,0),1),0)</f>
        <v>0</v>
      </c>
      <c r="H3" s="4">
        <f>IFERROR(INDEX(ativos!$E$2:$E$443,MATCH(preços!H$1&amp;preços!$A3,ativos!$A$2:$A$443,0),1),0)</f>
        <v>0</v>
      </c>
      <c r="I3" s="4">
        <f>IFERROR(INDEX(ativos!$E$2:$E$443,MATCH(preços!I$1&amp;preços!$A3,ativos!$A$2:$A$443,0),1),0)</f>
        <v>0</v>
      </c>
      <c r="J3" s="4">
        <f>IFERROR(INDEX(ativos!$E$2:$E$443,MATCH(preços!J$1&amp;preços!$A3,ativos!$A$2:$A$443,0),1),0)</f>
        <v>0</v>
      </c>
      <c r="K3" s="4">
        <f>IFERROR(INDEX(ativos!$E$2:$E$443,MATCH(preços!K$1&amp;preços!$A3,ativos!$A$2:$A$443,0),1),0)</f>
        <v>1.24</v>
      </c>
      <c r="L3" s="4">
        <f>IFERROR(INDEX(ativos!$E$2:$E$443,MATCH(preços!L$1&amp;preços!$A3,ativos!$A$2:$A$443,0),1),0)</f>
        <v>0</v>
      </c>
      <c r="M3" s="4">
        <f>IFERROR(INDEX(ativos!$E$2:$E$443,MATCH(preços!M$1&amp;preços!$A3,ativos!$A$2:$A$443,0),1),0)</f>
        <v>0</v>
      </c>
      <c r="N3" s="4">
        <f>IFERROR(INDEX(ativos!$E$2:$E$443,MATCH(preços!N$1&amp;preços!$A3,ativos!$A$2:$A$443,0),1),0)</f>
        <v>0</v>
      </c>
      <c r="O3" s="4">
        <f>IFERROR(INDEX(ativos!$E$2:$E$443,MATCH(preços!O$1&amp;preços!$A3,ativos!$A$2:$A$443,0),1),0)</f>
        <v>0</v>
      </c>
      <c r="P3" s="4">
        <f>IFERROR(INDEX(ativos!$E$2:$E$443,MATCH(preços!P$1&amp;preços!$A3,ativos!$A$2:$A$443,0),1),0)</f>
        <v>0</v>
      </c>
      <c r="Q3" s="4">
        <f>IFERROR(INDEX(ativos!$E$2:$E$443,MATCH(preços!Q$1&amp;preços!$A3,ativos!$A$2:$A$443,0),1),0)</f>
        <v>1.04</v>
      </c>
      <c r="R3" s="4">
        <f>IFERROR(INDEX(ativos!$E$2:$E$443,MATCH(preços!R$1&amp;preços!$A3,ativos!$A$2:$A$443,0),1),0)</f>
        <v>0</v>
      </c>
      <c r="S3" s="4">
        <f>IFERROR(INDEX(ativos!$E$2:$E$443,MATCH(preços!S$1&amp;preços!$A3,ativos!$A$2:$A$443,0),1),0)</f>
        <v>0</v>
      </c>
      <c r="T3" s="4">
        <f>IFERROR(INDEX(ativos!$E$2:$E$443,MATCH(preços!T$1&amp;preços!$A3,ativos!$A$2:$A$443,0),1),0)</f>
        <v>0</v>
      </c>
      <c r="U3" s="4">
        <f>IFERROR(INDEX(ativos!$E$2:$E$443,MATCH(preços!U$1&amp;preços!$A3,ativos!$A$2:$A$443,0),1),0)</f>
        <v>0</v>
      </c>
      <c r="V3" s="4">
        <f>IFERROR(INDEX(ativos!$E$2:$E$443,MATCH(preços!V$1&amp;preços!$A3,ativos!$A$2:$A$443,0),1),0)</f>
        <v>0</v>
      </c>
      <c r="W3" s="4">
        <f>IFERROR(INDEX(ativos!$E$2:$E$443,MATCH(preços!W$1&amp;preços!$A3,ativos!$A$2:$A$443,0),1),0)</f>
        <v>0</v>
      </c>
      <c r="X3" s="4">
        <f>IFERROR(INDEX(ativos!$E$2:$E$443,MATCH(preços!X$1&amp;preços!$A3,ativos!$A$2:$A$443,0),1),0)</f>
        <v>0</v>
      </c>
      <c r="Y3" s="4">
        <f>IFERROR(INDEX(ativos!$E$2:$E$443,MATCH(preços!Y$1&amp;preços!$A3,ativos!$A$2:$A$443,0),1),0)</f>
        <v>0</v>
      </c>
      <c r="Z3" s="4">
        <f>IFERROR(INDEX(ativos!$E$2:$E$443,MATCH(preços!Z$1&amp;preços!$A3,ativos!$A$2:$A$443,0),1),0)</f>
        <v>0</v>
      </c>
      <c r="AA3" s="4">
        <f>IFERROR(INDEX(ativos!$E$2:$E$443,MATCH(preços!AA$1&amp;preços!$A3,ativos!$A$2:$A$443,0),1),0)</f>
        <v>0</v>
      </c>
      <c r="AB3" s="4">
        <f>IFERROR(INDEX(ativos!$E$2:$E$443,MATCH(preços!AB$1&amp;preços!$A3,ativos!$A$2:$A$443,0),1),0)</f>
        <v>0</v>
      </c>
      <c r="AC3" s="4">
        <f>IFERROR(INDEX(ativos!$E$2:$E$443,MATCH(preços!AC$1&amp;preços!$A3,ativos!$A$2:$A$443,0),1),0)</f>
        <v>0</v>
      </c>
      <c r="AD3" s="4">
        <f>IFERROR(INDEX(ativos!$E$2:$E$443,MATCH(preços!AD$1&amp;preços!$A3,ativos!$A$2:$A$443,0),1),0)</f>
        <v>0</v>
      </c>
      <c r="AE3" s="4">
        <f>IFERROR(INDEX(ativos!$E$2:$E$443,MATCH(preços!AE$1&amp;preços!$A3,ativos!$A$2:$A$443,0),1),0)</f>
        <v>0</v>
      </c>
      <c r="AF3" s="4">
        <f>IFERROR(INDEX(ativos!$E$2:$E$443,MATCH(preços!AF$1&amp;preços!$A3,ativos!$A$2:$A$443,0),1),0)</f>
        <v>0</v>
      </c>
      <c r="AG3" s="4">
        <f>IFERROR(INDEX(ativos!$E$2:$E$443,MATCH(preços!AG$1&amp;preços!$A3,ativos!$A$2:$A$443,0),1),0)</f>
        <v>0</v>
      </c>
      <c r="AH3" s="4">
        <f>IFERROR(INDEX(ativos!$E$2:$E$443,MATCH(preços!AH$1&amp;preços!$A3,ativos!$A$2:$A$443,0),1),0)</f>
        <v>0</v>
      </c>
      <c r="AI3" s="4">
        <f>IFERROR(INDEX(ativos!$E$2:$E$443,MATCH(preços!AI$1&amp;preços!$A3,ativos!$A$2:$A$443,0),1),0)</f>
        <v>0</v>
      </c>
      <c r="AJ3" s="4">
        <f>IFERROR(INDEX(ativos!$E$2:$E$443,MATCH(preços!AJ$1&amp;preços!$A3,ativos!$A$2:$A$443,0),1),0)</f>
        <v>0</v>
      </c>
      <c r="AK3" s="4">
        <f>IFERROR(INDEX(ativos!$E$2:$E$443,MATCH(preços!AK$1&amp;preços!$A3,ativos!$A$2:$A$443,0),1),0)</f>
        <v>0</v>
      </c>
      <c r="AL3" s="4">
        <f>IFERROR(INDEX(ativos!$E$2:$E$443,MATCH(preços!AL$1&amp;preços!$A3,ativos!$A$2:$A$443,0),1),0)</f>
        <v>0</v>
      </c>
    </row>
    <row r="4" spans="1:38" x14ac:dyDescent="0.25">
      <c r="A4">
        <v>1999</v>
      </c>
      <c r="B4" s="4">
        <f>IFERROR(INDEX(ativos!$E$2:$E$443,MATCH(preços!B$1&amp;preços!$A4,ativos!$A$2:$A$443,0),1),0)</f>
        <v>0.77</v>
      </c>
      <c r="C4" s="4">
        <f>IFERROR(INDEX(ativos!$E$2:$E$443,MATCH(preços!C$1&amp;preços!$A4,ativos!$A$2:$A$443,0),1),0)</f>
        <v>0</v>
      </c>
      <c r="D4" s="4">
        <f>IFERROR(INDEX(ativos!$E$2:$E$443,MATCH(preços!D$1&amp;preços!$A4,ativos!$A$2:$A$443,0),1),0)</f>
        <v>0.83</v>
      </c>
      <c r="E4" s="4">
        <f>IFERROR(INDEX(ativos!$E$2:$E$443,MATCH(preços!E$1&amp;preços!$A4,ativos!$A$2:$A$443,0),1),0)</f>
        <v>0.45</v>
      </c>
      <c r="F4" s="4">
        <f>IFERROR(INDEX(ativos!$E$2:$E$443,MATCH(preços!F$1&amp;preços!$A4,ativos!$A$2:$A$443,0),1),0)</f>
        <v>0</v>
      </c>
      <c r="G4" s="4">
        <f>IFERROR(INDEX(ativos!$E$2:$E$443,MATCH(preços!G$1&amp;preços!$A4,ativos!$A$2:$A$443,0),1),0)</f>
        <v>0</v>
      </c>
      <c r="H4" s="4">
        <f>IFERROR(INDEX(ativos!$E$2:$E$443,MATCH(preços!H$1&amp;preços!$A4,ativos!$A$2:$A$443,0),1),0)</f>
        <v>0</v>
      </c>
      <c r="I4" s="4">
        <f>IFERROR(INDEX(ativos!$E$2:$E$443,MATCH(preços!I$1&amp;preços!$A4,ativos!$A$2:$A$443,0),1),0)</f>
        <v>0</v>
      </c>
      <c r="J4" s="4">
        <f>IFERROR(INDEX(ativos!$E$2:$E$443,MATCH(preços!J$1&amp;preços!$A4,ativos!$A$2:$A$443,0),1),0)</f>
        <v>0</v>
      </c>
      <c r="K4" s="4">
        <f>IFERROR(INDEX(ativos!$E$2:$E$443,MATCH(preços!K$1&amp;preços!$A4,ativos!$A$2:$A$443,0),1),0)</f>
        <v>1.01</v>
      </c>
      <c r="L4" s="4">
        <f>IFERROR(INDEX(ativos!$E$2:$E$443,MATCH(preços!L$1&amp;preços!$A4,ativos!$A$2:$A$443,0),1),0)</f>
        <v>0.33</v>
      </c>
      <c r="M4" s="4">
        <f>IFERROR(INDEX(ativos!$E$2:$E$443,MATCH(preços!M$1&amp;preços!$A4,ativos!$A$2:$A$443,0),1),0)</f>
        <v>0</v>
      </c>
      <c r="N4" s="4">
        <f>IFERROR(INDEX(ativos!$E$2:$E$443,MATCH(preços!N$1&amp;preços!$A4,ativos!$A$2:$A$443,0),1),0)</f>
        <v>0</v>
      </c>
      <c r="O4" s="4">
        <f>IFERROR(INDEX(ativos!$E$2:$E$443,MATCH(preços!O$1&amp;preços!$A4,ativos!$A$2:$A$443,0),1),0)</f>
        <v>0</v>
      </c>
      <c r="P4" s="4">
        <f>IFERROR(INDEX(ativos!$E$2:$E$443,MATCH(preços!P$1&amp;preços!$A4,ativos!$A$2:$A$443,0),1),0)</f>
        <v>0</v>
      </c>
      <c r="Q4" s="4">
        <f>IFERROR(INDEX(ativos!$E$2:$E$443,MATCH(preços!Q$1&amp;preços!$A4,ativos!$A$2:$A$443,0),1),0)</f>
        <v>0.87</v>
      </c>
      <c r="R4" s="4">
        <f>IFERROR(INDEX(ativos!$E$2:$E$443,MATCH(preços!R$1&amp;preços!$A4,ativos!$A$2:$A$443,0),1),0)</f>
        <v>0</v>
      </c>
      <c r="S4" s="4">
        <f>IFERROR(INDEX(ativos!$E$2:$E$443,MATCH(preços!S$1&amp;preços!$A4,ativos!$A$2:$A$443,0),1),0)</f>
        <v>0</v>
      </c>
      <c r="T4" s="4">
        <f>IFERROR(INDEX(ativos!$E$2:$E$443,MATCH(preços!T$1&amp;preços!$A4,ativos!$A$2:$A$443,0),1),0)</f>
        <v>0</v>
      </c>
      <c r="U4" s="4">
        <f>IFERROR(INDEX(ativos!$E$2:$E$443,MATCH(preços!U$1&amp;preços!$A4,ativos!$A$2:$A$443,0),1),0)</f>
        <v>0</v>
      </c>
      <c r="V4" s="4">
        <f>IFERROR(INDEX(ativos!$E$2:$E$443,MATCH(preços!V$1&amp;preços!$A4,ativos!$A$2:$A$443,0),1),0)</f>
        <v>0</v>
      </c>
      <c r="W4" s="4">
        <f>IFERROR(INDEX(ativos!$E$2:$E$443,MATCH(preços!W$1&amp;preços!$A4,ativos!$A$2:$A$443,0),1),0)</f>
        <v>0</v>
      </c>
      <c r="X4" s="4">
        <f>IFERROR(INDEX(ativos!$E$2:$E$443,MATCH(preços!X$1&amp;preços!$A4,ativos!$A$2:$A$443,0),1),0)</f>
        <v>0</v>
      </c>
      <c r="Y4" s="4">
        <f>IFERROR(INDEX(ativos!$E$2:$E$443,MATCH(preços!Y$1&amp;preços!$A4,ativos!$A$2:$A$443,0),1),0)</f>
        <v>0</v>
      </c>
      <c r="Z4" s="4">
        <f>IFERROR(INDEX(ativos!$E$2:$E$443,MATCH(preços!Z$1&amp;preços!$A4,ativos!$A$2:$A$443,0),1),0)</f>
        <v>0</v>
      </c>
      <c r="AA4" s="4">
        <f>IFERROR(INDEX(ativos!$E$2:$E$443,MATCH(preços!AA$1&amp;preços!$A4,ativos!$A$2:$A$443,0),1),0)</f>
        <v>0</v>
      </c>
      <c r="AB4" s="4">
        <f>IFERROR(INDEX(ativos!$E$2:$E$443,MATCH(preços!AB$1&amp;preços!$A4,ativos!$A$2:$A$443,0),1),0)</f>
        <v>0</v>
      </c>
      <c r="AC4" s="4">
        <f>IFERROR(INDEX(ativos!$E$2:$E$443,MATCH(preços!AC$1&amp;preços!$A4,ativos!$A$2:$A$443,0),1),0)</f>
        <v>0</v>
      </c>
      <c r="AD4" s="4">
        <f>IFERROR(INDEX(ativos!$E$2:$E$443,MATCH(preços!AD$1&amp;preços!$A4,ativos!$A$2:$A$443,0),1),0)</f>
        <v>0</v>
      </c>
      <c r="AE4" s="4">
        <f>IFERROR(INDEX(ativos!$E$2:$E$443,MATCH(preços!AE$1&amp;preços!$A4,ativos!$A$2:$A$443,0),1),0)</f>
        <v>0</v>
      </c>
      <c r="AF4" s="4">
        <f>IFERROR(INDEX(ativos!$E$2:$E$443,MATCH(preços!AF$1&amp;preços!$A4,ativos!$A$2:$A$443,0),1),0)</f>
        <v>0</v>
      </c>
      <c r="AG4" s="4">
        <f>IFERROR(INDEX(ativos!$E$2:$E$443,MATCH(preços!AG$1&amp;preços!$A4,ativos!$A$2:$A$443,0),1),0)</f>
        <v>0</v>
      </c>
      <c r="AH4" s="4">
        <f>IFERROR(INDEX(ativos!$E$2:$E$443,MATCH(preços!AH$1&amp;preços!$A4,ativos!$A$2:$A$443,0),1),0)</f>
        <v>0</v>
      </c>
      <c r="AI4" s="4">
        <f>IFERROR(INDEX(ativos!$E$2:$E$443,MATCH(preços!AI$1&amp;preços!$A4,ativos!$A$2:$A$443,0),1),0)</f>
        <v>0</v>
      </c>
      <c r="AJ4" s="4">
        <f>IFERROR(INDEX(ativos!$E$2:$E$443,MATCH(preços!AJ$1&amp;preços!$A4,ativos!$A$2:$A$443,0),1),0)</f>
        <v>0</v>
      </c>
      <c r="AK4" s="4">
        <f>IFERROR(INDEX(ativos!$E$2:$E$443,MATCH(preços!AK$1&amp;preços!$A4,ativos!$A$2:$A$443,0),1),0)</f>
        <v>0</v>
      </c>
      <c r="AL4" s="4">
        <f>IFERROR(INDEX(ativos!$E$2:$E$443,MATCH(preços!AL$1&amp;preços!$A4,ativos!$A$2:$A$443,0),1),0)</f>
        <v>0</v>
      </c>
    </row>
    <row r="5" spans="1:38" x14ac:dyDescent="0.25">
      <c r="A5">
        <v>2000</v>
      </c>
      <c r="B5" s="4">
        <f>IFERROR(INDEX(ativos!$E$2:$E$443,MATCH(preços!B$1&amp;preços!$A5,ativos!$A$2:$A$443,0),1),0)</f>
        <v>3.48</v>
      </c>
      <c r="C5" s="4">
        <f>IFERROR(INDEX(ativos!$E$2:$E$443,MATCH(preços!C$1&amp;preços!$A5,ativos!$A$2:$A$443,0),1),0)</f>
        <v>0</v>
      </c>
      <c r="D5" s="4">
        <f>IFERROR(INDEX(ativos!$E$2:$E$443,MATCH(preços!D$1&amp;preços!$A5,ativos!$A$2:$A$443,0),1),0)</f>
        <v>0</v>
      </c>
      <c r="E5" s="4">
        <f>IFERROR(INDEX(ativos!$E$2:$E$443,MATCH(preços!E$1&amp;preços!$A5,ativos!$A$2:$A$443,0),1),0)</f>
        <v>1.1000000000000001</v>
      </c>
      <c r="F5" s="4">
        <f>IFERROR(INDEX(ativos!$E$2:$E$443,MATCH(preços!F$1&amp;preços!$A5,ativos!$A$2:$A$443,0),1),0)</f>
        <v>0</v>
      </c>
      <c r="G5" s="4">
        <f>IFERROR(INDEX(ativos!$E$2:$E$443,MATCH(preços!G$1&amp;preços!$A5,ativos!$A$2:$A$443,0),1),0)</f>
        <v>0</v>
      </c>
      <c r="H5" s="4">
        <f>IFERROR(INDEX(ativos!$E$2:$E$443,MATCH(preços!H$1&amp;preços!$A5,ativos!$A$2:$A$443,0),1),0)</f>
        <v>0</v>
      </c>
      <c r="I5" s="4">
        <f>IFERROR(INDEX(ativos!$E$2:$E$443,MATCH(preços!I$1&amp;preços!$A5,ativos!$A$2:$A$443,0),1),0)</f>
        <v>0</v>
      </c>
      <c r="J5" s="4">
        <f>IFERROR(INDEX(ativos!$E$2:$E$443,MATCH(preços!J$1&amp;preços!$A5,ativos!$A$2:$A$443,0),1),0)</f>
        <v>21.03</v>
      </c>
      <c r="K5" s="4">
        <f>IFERROR(INDEX(ativos!$E$2:$E$443,MATCH(preços!K$1&amp;preços!$A5,ativos!$A$2:$A$443,0),1),0)</f>
        <v>1.25</v>
      </c>
      <c r="L5" s="4">
        <f>IFERROR(INDEX(ativos!$E$2:$E$443,MATCH(preços!L$1&amp;preços!$A5,ativos!$A$2:$A$443,0),1),0)</f>
        <v>1.26</v>
      </c>
      <c r="M5" s="4">
        <f>IFERROR(INDEX(ativos!$E$2:$E$443,MATCH(preços!M$1&amp;preços!$A5,ativos!$A$2:$A$443,0),1),0)</f>
        <v>0</v>
      </c>
      <c r="N5" s="4">
        <f>IFERROR(INDEX(ativos!$E$2:$E$443,MATCH(preços!N$1&amp;preços!$A5,ativos!$A$2:$A$443,0),1),0)</f>
        <v>0</v>
      </c>
      <c r="O5" s="4">
        <f>IFERROR(INDEX(ativos!$E$2:$E$443,MATCH(preços!O$1&amp;preços!$A5,ativos!$A$2:$A$443,0),1),0)</f>
        <v>0</v>
      </c>
      <c r="P5" s="4">
        <f>IFERROR(INDEX(ativos!$E$2:$E$443,MATCH(preços!P$1&amp;preços!$A5,ativos!$A$2:$A$443,0),1),0)</f>
        <v>0</v>
      </c>
      <c r="Q5" s="4">
        <f>IFERROR(INDEX(ativos!$E$2:$E$443,MATCH(preços!Q$1&amp;preços!$A5,ativos!$A$2:$A$443,0),1),0)</f>
        <v>1.58</v>
      </c>
      <c r="R5" s="4">
        <f>IFERROR(INDEX(ativos!$E$2:$E$443,MATCH(preços!R$1&amp;preços!$A5,ativos!$A$2:$A$443,0),1),0)</f>
        <v>0</v>
      </c>
      <c r="S5" s="4">
        <f>IFERROR(INDEX(ativos!$E$2:$E$443,MATCH(preços!S$1&amp;preços!$A5,ativos!$A$2:$A$443,0),1),0)</f>
        <v>0</v>
      </c>
      <c r="T5" s="4">
        <f>IFERROR(INDEX(ativos!$E$2:$E$443,MATCH(preços!T$1&amp;preços!$A5,ativos!$A$2:$A$443,0),1),0)</f>
        <v>0</v>
      </c>
      <c r="U5" s="4">
        <f>IFERROR(INDEX(ativos!$E$2:$E$443,MATCH(preços!U$1&amp;preços!$A5,ativos!$A$2:$A$443,0),1),0)</f>
        <v>0</v>
      </c>
      <c r="V5" s="4">
        <f>IFERROR(INDEX(ativos!$E$2:$E$443,MATCH(preços!V$1&amp;preços!$A5,ativos!$A$2:$A$443,0),1),0)</f>
        <v>0</v>
      </c>
      <c r="W5" s="4">
        <f>IFERROR(INDEX(ativos!$E$2:$E$443,MATCH(preços!W$1&amp;preços!$A5,ativos!$A$2:$A$443,0),1),0)</f>
        <v>0</v>
      </c>
      <c r="X5" s="4">
        <f>IFERROR(INDEX(ativos!$E$2:$E$443,MATCH(preços!X$1&amp;preços!$A5,ativos!$A$2:$A$443,0),1),0)</f>
        <v>0</v>
      </c>
      <c r="Y5" s="4">
        <f>IFERROR(INDEX(ativos!$E$2:$E$443,MATCH(preços!Y$1&amp;preços!$A5,ativos!$A$2:$A$443,0),1),0)</f>
        <v>0</v>
      </c>
      <c r="Z5" s="4">
        <f>IFERROR(INDEX(ativos!$E$2:$E$443,MATCH(preços!Z$1&amp;preços!$A5,ativos!$A$2:$A$443,0),1),0)</f>
        <v>0</v>
      </c>
      <c r="AA5" s="4">
        <f>IFERROR(INDEX(ativos!$E$2:$E$443,MATCH(preços!AA$1&amp;preços!$A5,ativos!$A$2:$A$443,0),1),0)</f>
        <v>0</v>
      </c>
      <c r="AB5" s="4">
        <f>IFERROR(INDEX(ativos!$E$2:$E$443,MATCH(preços!AB$1&amp;preços!$A5,ativos!$A$2:$A$443,0),1),0)</f>
        <v>0</v>
      </c>
      <c r="AC5" s="4">
        <f>IFERROR(INDEX(ativos!$E$2:$E$443,MATCH(preços!AC$1&amp;preços!$A5,ativos!$A$2:$A$443,0),1),0)</f>
        <v>0</v>
      </c>
      <c r="AD5" s="4">
        <f>IFERROR(INDEX(ativos!$E$2:$E$443,MATCH(preços!AD$1&amp;preços!$A5,ativos!$A$2:$A$443,0),1),0)</f>
        <v>0</v>
      </c>
      <c r="AE5" s="4">
        <f>IFERROR(INDEX(ativos!$E$2:$E$443,MATCH(preços!AE$1&amp;preços!$A5,ativos!$A$2:$A$443,0),1),0)</f>
        <v>0</v>
      </c>
      <c r="AF5" s="4">
        <f>IFERROR(INDEX(ativos!$E$2:$E$443,MATCH(preços!AF$1&amp;preços!$A5,ativos!$A$2:$A$443,0),1),0)</f>
        <v>0</v>
      </c>
      <c r="AG5" s="4">
        <f>IFERROR(INDEX(ativos!$E$2:$E$443,MATCH(preços!AG$1&amp;preços!$A5,ativos!$A$2:$A$443,0),1),0)</f>
        <v>0</v>
      </c>
      <c r="AH5" s="4">
        <f>IFERROR(INDEX(ativos!$E$2:$E$443,MATCH(preços!AH$1&amp;preços!$A5,ativos!$A$2:$A$443,0),1),0)</f>
        <v>0</v>
      </c>
      <c r="AI5" s="4">
        <f>IFERROR(INDEX(ativos!$E$2:$E$443,MATCH(preços!AI$1&amp;preços!$A5,ativos!$A$2:$A$443,0),1),0)</f>
        <v>0</v>
      </c>
      <c r="AJ5" s="4">
        <f>IFERROR(INDEX(ativos!$E$2:$E$443,MATCH(preços!AJ$1&amp;preços!$A5,ativos!$A$2:$A$443,0),1),0)</f>
        <v>0</v>
      </c>
      <c r="AK5" s="4">
        <f>IFERROR(INDEX(ativos!$E$2:$E$443,MATCH(preços!AK$1&amp;preços!$A5,ativos!$A$2:$A$443,0),1),0)</f>
        <v>0</v>
      </c>
      <c r="AL5" s="4">
        <f>IFERROR(INDEX(ativos!$E$2:$E$443,MATCH(preços!AL$1&amp;preços!$A5,ativos!$A$2:$A$443,0),1),0)</f>
        <v>0</v>
      </c>
    </row>
    <row r="6" spans="1:38" x14ac:dyDescent="0.25">
      <c r="A6">
        <v>2001</v>
      </c>
      <c r="B6" s="4">
        <f>IFERROR(INDEX(ativos!$E$2:$E$443,MATCH(preços!B$1&amp;preços!$A6,ativos!$A$2:$A$443,0),1),0)</f>
        <v>5.6</v>
      </c>
      <c r="C6" s="4">
        <f>IFERROR(INDEX(ativos!$E$2:$E$443,MATCH(preços!C$1&amp;preços!$A6,ativos!$A$2:$A$443,0),1),0)</f>
        <v>0</v>
      </c>
      <c r="D6" s="4">
        <f>IFERROR(INDEX(ativos!$E$2:$E$443,MATCH(preços!D$1&amp;preços!$A6,ativos!$A$2:$A$443,0),1),0)</f>
        <v>0</v>
      </c>
      <c r="E6" s="4">
        <f>IFERROR(INDEX(ativos!$E$2:$E$443,MATCH(preços!E$1&amp;preços!$A6,ativos!$A$2:$A$443,0),1),0)</f>
        <v>1.62</v>
      </c>
      <c r="F6" s="4">
        <f>IFERROR(INDEX(ativos!$E$2:$E$443,MATCH(preços!F$1&amp;preços!$A6,ativos!$A$2:$A$443,0),1),0)</f>
        <v>0</v>
      </c>
      <c r="G6" s="4">
        <f>IFERROR(INDEX(ativos!$E$2:$E$443,MATCH(preços!G$1&amp;preços!$A6,ativos!$A$2:$A$443,0),1),0)</f>
        <v>0</v>
      </c>
      <c r="H6" s="4">
        <f>IFERROR(INDEX(ativos!$E$2:$E$443,MATCH(preços!H$1&amp;preços!$A6,ativos!$A$2:$A$443,0),1),0)</f>
        <v>0</v>
      </c>
      <c r="I6" s="4">
        <f>IFERROR(INDEX(ativos!$E$2:$E$443,MATCH(preços!I$1&amp;preços!$A6,ativos!$A$2:$A$443,0),1),0)</f>
        <v>0</v>
      </c>
      <c r="J6" s="4">
        <f>IFERROR(INDEX(ativos!$E$2:$E$443,MATCH(preços!J$1&amp;preços!$A6,ativos!$A$2:$A$443,0),1),0)</f>
        <v>14.39</v>
      </c>
      <c r="K6" s="4">
        <f>IFERROR(INDEX(ativos!$E$2:$E$443,MATCH(preços!K$1&amp;preços!$A6,ativos!$A$2:$A$443,0),1),0)</f>
        <v>1.26</v>
      </c>
      <c r="L6" s="4">
        <f>IFERROR(INDEX(ativos!$E$2:$E$443,MATCH(preços!L$1&amp;preços!$A6,ativos!$A$2:$A$443,0),1),0)</f>
        <v>1.1599999999999999</v>
      </c>
      <c r="M6" s="4">
        <f>IFERROR(INDEX(ativos!$E$2:$E$443,MATCH(preços!M$1&amp;preços!$A6,ativos!$A$2:$A$443,0),1),0)</f>
        <v>0</v>
      </c>
      <c r="N6" s="4">
        <f>IFERROR(INDEX(ativos!$E$2:$E$443,MATCH(preços!N$1&amp;preços!$A6,ativos!$A$2:$A$443,0),1),0)</f>
        <v>0</v>
      </c>
      <c r="O6" s="4">
        <f>IFERROR(INDEX(ativos!$E$2:$E$443,MATCH(preços!O$1&amp;preços!$A6,ativos!$A$2:$A$443,0),1),0)</f>
        <v>0</v>
      </c>
      <c r="P6" s="4">
        <f>IFERROR(INDEX(ativos!$E$2:$E$443,MATCH(preços!P$1&amp;preços!$A6,ativos!$A$2:$A$443,0),1),0)</f>
        <v>0</v>
      </c>
      <c r="Q6" s="4">
        <f>IFERROR(INDEX(ativos!$E$2:$E$443,MATCH(preços!Q$1&amp;preços!$A6,ativos!$A$2:$A$443,0),1),0)</f>
        <v>1.53</v>
      </c>
      <c r="R6" s="4">
        <f>IFERROR(INDEX(ativos!$E$2:$E$443,MATCH(preços!R$1&amp;preços!$A6,ativos!$A$2:$A$443,0),1),0)</f>
        <v>0</v>
      </c>
      <c r="S6" s="4">
        <f>IFERROR(INDEX(ativos!$E$2:$E$443,MATCH(preços!S$1&amp;preços!$A6,ativos!$A$2:$A$443,0),1),0)</f>
        <v>0</v>
      </c>
      <c r="T6" s="4">
        <f>IFERROR(INDEX(ativos!$E$2:$E$443,MATCH(preços!T$1&amp;preços!$A6,ativos!$A$2:$A$443,0),1),0)</f>
        <v>0</v>
      </c>
      <c r="U6" s="4">
        <f>IFERROR(INDEX(ativos!$E$2:$E$443,MATCH(preços!U$1&amp;preços!$A6,ativos!$A$2:$A$443,0),1),0)</f>
        <v>0</v>
      </c>
      <c r="V6" s="4">
        <f>IFERROR(INDEX(ativos!$E$2:$E$443,MATCH(preços!V$1&amp;preços!$A6,ativos!$A$2:$A$443,0),1),0)</f>
        <v>0</v>
      </c>
      <c r="W6" s="4">
        <f>IFERROR(INDEX(ativos!$E$2:$E$443,MATCH(preços!W$1&amp;preços!$A6,ativos!$A$2:$A$443,0),1),0)</f>
        <v>0</v>
      </c>
      <c r="X6" s="4">
        <f>IFERROR(INDEX(ativos!$E$2:$E$443,MATCH(preços!X$1&amp;preços!$A6,ativos!$A$2:$A$443,0),1),0)</f>
        <v>0</v>
      </c>
      <c r="Y6" s="4">
        <f>IFERROR(INDEX(ativos!$E$2:$E$443,MATCH(preços!Y$1&amp;preços!$A6,ativos!$A$2:$A$443,0),1),0)</f>
        <v>0</v>
      </c>
      <c r="Z6" s="4">
        <f>IFERROR(INDEX(ativos!$E$2:$E$443,MATCH(preços!Z$1&amp;preços!$A6,ativos!$A$2:$A$443,0),1),0)</f>
        <v>0</v>
      </c>
      <c r="AA6" s="4">
        <f>IFERROR(INDEX(ativos!$E$2:$E$443,MATCH(preços!AA$1&amp;preços!$A6,ativos!$A$2:$A$443,0),1),0)</f>
        <v>0</v>
      </c>
      <c r="AB6" s="4">
        <f>IFERROR(INDEX(ativos!$E$2:$E$443,MATCH(preços!AB$1&amp;preços!$A6,ativos!$A$2:$A$443,0),1),0)</f>
        <v>0</v>
      </c>
      <c r="AC6" s="4">
        <f>IFERROR(INDEX(ativos!$E$2:$E$443,MATCH(preços!AC$1&amp;preços!$A6,ativos!$A$2:$A$443,0),1),0)</f>
        <v>0</v>
      </c>
      <c r="AD6" s="4">
        <f>IFERROR(INDEX(ativos!$E$2:$E$443,MATCH(preços!AD$1&amp;preços!$A6,ativos!$A$2:$A$443,0),1),0)</f>
        <v>0</v>
      </c>
      <c r="AE6" s="4">
        <f>IFERROR(INDEX(ativos!$E$2:$E$443,MATCH(preços!AE$1&amp;preços!$A6,ativos!$A$2:$A$443,0),1),0)</f>
        <v>0</v>
      </c>
      <c r="AF6" s="4">
        <f>IFERROR(INDEX(ativos!$E$2:$E$443,MATCH(preços!AF$1&amp;preços!$A6,ativos!$A$2:$A$443,0),1),0)</f>
        <v>0</v>
      </c>
      <c r="AG6" s="4">
        <f>IFERROR(INDEX(ativos!$E$2:$E$443,MATCH(preços!AG$1&amp;preços!$A6,ativos!$A$2:$A$443,0),1),0)</f>
        <v>0</v>
      </c>
      <c r="AH6" s="4">
        <f>IFERROR(INDEX(ativos!$E$2:$E$443,MATCH(preços!AH$1&amp;preços!$A6,ativos!$A$2:$A$443,0),1),0)</f>
        <v>0</v>
      </c>
      <c r="AI6" s="4">
        <f>IFERROR(INDEX(ativos!$E$2:$E$443,MATCH(preços!AI$1&amp;preços!$A6,ativos!$A$2:$A$443,0),1),0)</f>
        <v>0</v>
      </c>
      <c r="AJ6" s="4">
        <f>IFERROR(INDEX(ativos!$E$2:$E$443,MATCH(preços!AJ$1&amp;preços!$A6,ativos!$A$2:$A$443,0),1),0)</f>
        <v>0</v>
      </c>
      <c r="AK6" s="4">
        <f>IFERROR(INDEX(ativos!$E$2:$E$443,MATCH(preços!AK$1&amp;preços!$A6,ativos!$A$2:$A$443,0),1),0)</f>
        <v>0</v>
      </c>
      <c r="AL6" s="4">
        <f>IFERROR(INDEX(ativos!$E$2:$E$443,MATCH(preços!AL$1&amp;preços!$A6,ativos!$A$2:$A$443,0),1),0)</f>
        <v>0</v>
      </c>
    </row>
    <row r="7" spans="1:38" x14ac:dyDescent="0.25">
      <c r="A7">
        <v>2002</v>
      </c>
      <c r="B7" s="4">
        <f>IFERROR(INDEX(ativos!$E$2:$E$443,MATCH(preços!B$1&amp;preços!$A7,ativos!$A$2:$A$443,0),1),0)</f>
        <v>5.07</v>
      </c>
      <c r="C7" s="4">
        <f>IFERROR(INDEX(ativos!$E$2:$E$443,MATCH(preços!C$1&amp;preços!$A7,ativos!$A$2:$A$443,0),1),0)</f>
        <v>0</v>
      </c>
      <c r="D7" s="4">
        <f>IFERROR(INDEX(ativos!$E$2:$E$443,MATCH(preços!D$1&amp;preços!$A7,ativos!$A$2:$A$443,0),1),0)</f>
        <v>0</v>
      </c>
      <c r="E7" s="4">
        <f>IFERROR(INDEX(ativos!$E$2:$E$443,MATCH(preços!E$1&amp;preços!$A7,ativos!$A$2:$A$443,0),1),0)</f>
        <v>1.5</v>
      </c>
      <c r="F7" s="4">
        <f>IFERROR(INDEX(ativos!$E$2:$E$443,MATCH(preços!F$1&amp;preços!$A7,ativos!$A$2:$A$443,0),1),0)</f>
        <v>0</v>
      </c>
      <c r="G7" s="4">
        <f>IFERROR(INDEX(ativos!$E$2:$E$443,MATCH(preços!G$1&amp;preços!$A7,ativos!$A$2:$A$443,0),1),0)</f>
        <v>0</v>
      </c>
      <c r="H7" s="4">
        <f>IFERROR(INDEX(ativos!$E$2:$E$443,MATCH(preços!H$1&amp;preços!$A7,ativos!$A$2:$A$443,0),1),0)</f>
        <v>0</v>
      </c>
      <c r="I7" s="4">
        <f>IFERROR(INDEX(ativos!$E$2:$E$443,MATCH(preços!I$1&amp;preços!$A7,ativos!$A$2:$A$443,0),1),0)</f>
        <v>0</v>
      </c>
      <c r="J7" s="4">
        <f>IFERROR(INDEX(ativos!$E$2:$E$443,MATCH(preços!J$1&amp;preços!$A7,ativos!$A$2:$A$443,0),1),0)</f>
        <v>11.07</v>
      </c>
      <c r="K7" s="4">
        <f>IFERROR(INDEX(ativos!$E$2:$E$443,MATCH(preços!K$1&amp;preços!$A7,ativos!$A$2:$A$443,0),1),0)</f>
        <v>1.43</v>
      </c>
      <c r="L7" s="4">
        <f>IFERROR(INDEX(ativos!$E$2:$E$443,MATCH(preços!L$1&amp;preços!$A7,ativos!$A$2:$A$443,0),1),0)</f>
        <v>1.33</v>
      </c>
      <c r="M7" s="4">
        <f>IFERROR(INDEX(ativos!$E$2:$E$443,MATCH(preços!M$1&amp;preços!$A7,ativos!$A$2:$A$443,0),1),0)</f>
        <v>0</v>
      </c>
      <c r="N7" s="4">
        <f>IFERROR(INDEX(ativos!$E$2:$E$443,MATCH(preços!N$1&amp;preços!$A7,ativos!$A$2:$A$443,0),1),0)</f>
        <v>0</v>
      </c>
      <c r="O7" s="4">
        <f>IFERROR(INDEX(ativos!$E$2:$E$443,MATCH(preços!O$1&amp;preços!$A7,ativos!$A$2:$A$443,0),1),0)</f>
        <v>0</v>
      </c>
      <c r="P7" s="4">
        <f>IFERROR(INDEX(ativos!$E$2:$E$443,MATCH(preços!P$1&amp;preços!$A7,ativos!$A$2:$A$443,0),1),0)</f>
        <v>0</v>
      </c>
      <c r="Q7" s="4">
        <f>IFERROR(INDEX(ativos!$E$2:$E$443,MATCH(preços!Q$1&amp;preços!$A7,ativos!$A$2:$A$443,0),1),0)</f>
        <v>1.42</v>
      </c>
      <c r="R7" s="4">
        <f>IFERROR(INDEX(ativos!$E$2:$E$443,MATCH(preços!R$1&amp;preços!$A7,ativos!$A$2:$A$443,0),1),0)</f>
        <v>0</v>
      </c>
      <c r="S7" s="4">
        <f>IFERROR(INDEX(ativos!$E$2:$E$443,MATCH(preços!S$1&amp;preços!$A7,ativos!$A$2:$A$443,0),1),0)</f>
        <v>0</v>
      </c>
      <c r="T7" s="4">
        <f>IFERROR(INDEX(ativos!$E$2:$E$443,MATCH(preços!T$1&amp;preços!$A7,ativos!$A$2:$A$443,0),1),0)</f>
        <v>0</v>
      </c>
      <c r="U7" s="4">
        <f>IFERROR(INDEX(ativos!$E$2:$E$443,MATCH(preços!U$1&amp;preços!$A7,ativos!$A$2:$A$443,0),1),0)</f>
        <v>0</v>
      </c>
      <c r="V7" s="4">
        <f>IFERROR(INDEX(ativos!$E$2:$E$443,MATCH(preços!V$1&amp;preços!$A7,ativos!$A$2:$A$443,0),1),0)</f>
        <v>0</v>
      </c>
      <c r="W7" s="4">
        <f>IFERROR(INDEX(ativos!$E$2:$E$443,MATCH(preços!W$1&amp;preços!$A7,ativos!$A$2:$A$443,0),1),0)</f>
        <v>0</v>
      </c>
      <c r="X7" s="4">
        <f>IFERROR(INDEX(ativos!$E$2:$E$443,MATCH(preços!X$1&amp;preços!$A7,ativos!$A$2:$A$443,0),1),0)</f>
        <v>0</v>
      </c>
      <c r="Y7" s="4">
        <f>IFERROR(INDEX(ativos!$E$2:$E$443,MATCH(preços!Y$1&amp;preços!$A7,ativos!$A$2:$A$443,0),1),0)</f>
        <v>0</v>
      </c>
      <c r="Z7" s="4">
        <f>IFERROR(INDEX(ativos!$E$2:$E$443,MATCH(preços!Z$1&amp;preços!$A7,ativos!$A$2:$A$443,0),1),0)</f>
        <v>0</v>
      </c>
      <c r="AA7" s="4">
        <f>IFERROR(INDEX(ativos!$E$2:$E$443,MATCH(preços!AA$1&amp;preços!$A7,ativos!$A$2:$A$443,0),1),0)</f>
        <v>0</v>
      </c>
      <c r="AB7" s="4">
        <f>IFERROR(INDEX(ativos!$E$2:$E$443,MATCH(preços!AB$1&amp;preços!$A7,ativos!$A$2:$A$443,0),1),0)</f>
        <v>0</v>
      </c>
      <c r="AC7" s="4">
        <f>IFERROR(INDEX(ativos!$E$2:$E$443,MATCH(preços!AC$1&amp;preços!$A7,ativos!$A$2:$A$443,0),1),0)</f>
        <v>0</v>
      </c>
      <c r="AD7" s="4">
        <f>IFERROR(INDEX(ativos!$E$2:$E$443,MATCH(preços!AD$1&amp;preços!$A7,ativos!$A$2:$A$443,0),1),0)</f>
        <v>0</v>
      </c>
      <c r="AE7" s="4">
        <f>IFERROR(INDEX(ativos!$E$2:$E$443,MATCH(preços!AE$1&amp;preços!$A7,ativos!$A$2:$A$443,0),1),0)</f>
        <v>0</v>
      </c>
      <c r="AF7" s="4">
        <f>IFERROR(INDEX(ativos!$E$2:$E$443,MATCH(preços!AF$1&amp;preços!$A7,ativos!$A$2:$A$443,0),1),0)</f>
        <v>0</v>
      </c>
      <c r="AG7" s="4">
        <f>IFERROR(INDEX(ativos!$E$2:$E$443,MATCH(preços!AG$1&amp;preços!$A7,ativos!$A$2:$A$443,0),1),0)</f>
        <v>0</v>
      </c>
      <c r="AH7" s="4">
        <f>IFERROR(INDEX(ativos!$E$2:$E$443,MATCH(preços!AH$1&amp;preços!$A7,ativos!$A$2:$A$443,0),1),0)</f>
        <v>0</v>
      </c>
      <c r="AI7" s="4">
        <f>IFERROR(INDEX(ativos!$E$2:$E$443,MATCH(preços!AI$1&amp;preços!$A7,ativos!$A$2:$A$443,0),1),0)</f>
        <v>0</v>
      </c>
      <c r="AJ7" s="4">
        <f>IFERROR(INDEX(ativos!$E$2:$E$443,MATCH(preços!AJ$1&amp;preços!$A7,ativos!$A$2:$A$443,0),1),0)</f>
        <v>0</v>
      </c>
      <c r="AK7" s="4">
        <f>IFERROR(INDEX(ativos!$E$2:$E$443,MATCH(preços!AK$1&amp;preços!$A7,ativos!$A$2:$A$443,0),1),0)</f>
        <v>0</v>
      </c>
      <c r="AL7" s="4">
        <f>IFERROR(INDEX(ativos!$E$2:$E$443,MATCH(preços!AL$1&amp;preços!$A7,ativos!$A$2:$A$443,0),1),0)</f>
        <v>0</v>
      </c>
    </row>
    <row r="8" spans="1:38" x14ac:dyDescent="0.25">
      <c r="A8">
        <v>2003</v>
      </c>
      <c r="B8" s="4">
        <f>IFERROR(INDEX(ativos!$E$2:$E$443,MATCH(preços!B$1&amp;preços!$A8,ativos!$A$2:$A$443,0),1),0)</f>
        <v>5.3</v>
      </c>
      <c r="C8" s="4">
        <f>IFERROR(INDEX(ativos!$E$2:$E$443,MATCH(preços!C$1&amp;preços!$A8,ativos!$A$2:$A$443,0),1),0)</f>
        <v>0.28000000000000003</v>
      </c>
      <c r="D8" s="4">
        <f>IFERROR(INDEX(ativos!$E$2:$E$443,MATCH(preços!D$1&amp;preços!$A8,ativos!$A$2:$A$443,0),1),0)</f>
        <v>0</v>
      </c>
      <c r="E8" s="4">
        <f>IFERROR(INDEX(ativos!$E$2:$E$443,MATCH(preços!E$1&amp;preços!$A8,ativos!$A$2:$A$443,0),1),0)</f>
        <v>1.29</v>
      </c>
      <c r="F8" s="4">
        <f>IFERROR(INDEX(ativos!$E$2:$E$443,MATCH(preços!F$1&amp;preços!$A8,ativos!$A$2:$A$443,0),1),0)</f>
        <v>0</v>
      </c>
      <c r="G8" s="4">
        <f>IFERROR(INDEX(ativos!$E$2:$E$443,MATCH(preços!G$1&amp;preços!$A8,ativos!$A$2:$A$443,0),1),0)</f>
        <v>0</v>
      </c>
      <c r="H8" s="4">
        <f>IFERROR(INDEX(ativos!$E$2:$E$443,MATCH(preços!H$1&amp;preços!$A8,ativos!$A$2:$A$443,0),1),0)</f>
        <v>0</v>
      </c>
      <c r="I8" s="4">
        <f>IFERROR(INDEX(ativos!$E$2:$E$443,MATCH(preços!I$1&amp;preços!$A8,ativos!$A$2:$A$443,0),1),0)</f>
        <v>0</v>
      </c>
      <c r="J8" s="4">
        <f>IFERROR(INDEX(ativos!$E$2:$E$443,MATCH(preços!J$1&amp;preços!$A8,ativos!$A$2:$A$443,0),1),0)</f>
        <v>12.42</v>
      </c>
      <c r="K8" s="4">
        <f>IFERROR(INDEX(ativos!$E$2:$E$443,MATCH(preços!K$1&amp;preços!$A8,ativos!$A$2:$A$443,0),1),0)</f>
        <v>1.53</v>
      </c>
      <c r="L8" s="4">
        <f>IFERROR(INDEX(ativos!$E$2:$E$443,MATCH(preços!L$1&amp;preços!$A8,ativos!$A$2:$A$443,0),1),0)</f>
        <v>1.85</v>
      </c>
      <c r="M8" s="4">
        <f>IFERROR(INDEX(ativos!$E$2:$E$443,MATCH(preços!M$1&amp;preços!$A8,ativos!$A$2:$A$443,0),1),0)</f>
        <v>0</v>
      </c>
      <c r="N8" s="4">
        <f>IFERROR(INDEX(ativos!$E$2:$E$443,MATCH(preços!N$1&amp;preços!$A8,ativos!$A$2:$A$443,0),1),0)</f>
        <v>0</v>
      </c>
      <c r="O8" s="4">
        <f>IFERROR(INDEX(ativos!$E$2:$E$443,MATCH(preços!O$1&amp;preços!$A8,ativos!$A$2:$A$443,0),1),0)</f>
        <v>0</v>
      </c>
      <c r="P8" s="4">
        <f>IFERROR(INDEX(ativos!$E$2:$E$443,MATCH(preços!P$1&amp;preços!$A8,ativos!$A$2:$A$443,0),1),0)</f>
        <v>0</v>
      </c>
      <c r="Q8" s="4">
        <f>IFERROR(INDEX(ativos!$E$2:$E$443,MATCH(preços!Q$1&amp;preços!$A8,ativos!$A$2:$A$443,0),1),0)</f>
        <v>1.19</v>
      </c>
      <c r="R8" s="4">
        <f>IFERROR(INDEX(ativos!$E$2:$E$443,MATCH(preços!R$1&amp;preços!$A8,ativos!$A$2:$A$443,0),1),0)</f>
        <v>0</v>
      </c>
      <c r="S8" s="4">
        <f>IFERROR(INDEX(ativos!$E$2:$E$443,MATCH(preços!S$1&amp;preços!$A8,ativos!$A$2:$A$443,0),1),0)</f>
        <v>0</v>
      </c>
      <c r="T8" s="4">
        <f>IFERROR(INDEX(ativos!$E$2:$E$443,MATCH(preços!T$1&amp;preços!$A8,ativos!$A$2:$A$443,0),1),0)</f>
        <v>0</v>
      </c>
      <c r="U8" s="4">
        <f>IFERROR(INDEX(ativos!$E$2:$E$443,MATCH(preços!U$1&amp;preços!$A8,ativos!$A$2:$A$443,0),1),0)</f>
        <v>0</v>
      </c>
      <c r="V8" s="4">
        <f>IFERROR(INDEX(ativos!$E$2:$E$443,MATCH(preços!V$1&amp;preços!$A8,ativos!$A$2:$A$443,0),1),0)</f>
        <v>0</v>
      </c>
      <c r="W8" s="4">
        <f>IFERROR(INDEX(ativos!$E$2:$E$443,MATCH(preços!W$1&amp;preços!$A8,ativos!$A$2:$A$443,0),1),0)</f>
        <v>0</v>
      </c>
      <c r="X8" s="4">
        <f>IFERROR(INDEX(ativos!$E$2:$E$443,MATCH(preços!X$1&amp;preços!$A8,ativos!$A$2:$A$443,0),1),0)</f>
        <v>0</v>
      </c>
      <c r="Y8" s="4">
        <f>IFERROR(INDEX(ativos!$E$2:$E$443,MATCH(preços!Y$1&amp;preços!$A8,ativos!$A$2:$A$443,0),1),0)</f>
        <v>0</v>
      </c>
      <c r="Z8" s="4">
        <f>IFERROR(INDEX(ativos!$E$2:$E$443,MATCH(preços!Z$1&amp;preços!$A8,ativos!$A$2:$A$443,0),1),0)</f>
        <v>0</v>
      </c>
      <c r="AA8" s="4">
        <f>IFERROR(INDEX(ativos!$E$2:$E$443,MATCH(preços!AA$1&amp;preços!$A8,ativos!$A$2:$A$443,0),1),0)</f>
        <v>0</v>
      </c>
      <c r="AB8" s="4">
        <f>IFERROR(INDEX(ativos!$E$2:$E$443,MATCH(preços!AB$1&amp;preços!$A8,ativos!$A$2:$A$443,0),1),0)</f>
        <v>0</v>
      </c>
      <c r="AC8" s="4">
        <f>IFERROR(INDEX(ativos!$E$2:$E$443,MATCH(preços!AC$1&amp;preços!$A8,ativos!$A$2:$A$443,0),1),0)</f>
        <v>0</v>
      </c>
      <c r="AD8" s="4">
        <f>IFERROR(INDEX(ativos!$E$2:$E$443,MATCH(preços!AD$1&amp;preços!$A8,ativos!$A$2:$A$443,0),1),0)</f>
        <v>0</v>
      </c>
      <c r="AE8" s="4">
        <f>IFERROR(INDEX(ativos!$E$2:$E$443,MATCH(preços!AE$1&amp;preços!$A8,ativos!$A$2:$A$443,0),1),0)</f>
        <v>0</v>
      </c>
      <c r="AF8" s="4">
        <f>IFERROR(INDEX(ativos!$E$2:$E$443,MATCH(preços!AF$1&amp;preços!$A8,ativos!$A$2:$A$443,0),1),0)</f>
        <v>0</v>
      </c>
      <c r="AG8" s="4">
        <f>IFERROR(INDEX(ativos!$E$2:$E$443,MATCH(preços!AG$1&amp;preços!$A8,ativos!$A$2:$A$443,0),1),0)</f>
        <v>0</v>
      </c>
      <c r="AH8" s="4">
        <f>IFERROR(INDEX(ativos!$E$2:$E$443,MATCH(preços!AH$1&amp;preços!$A8,ativos!$A$2:$A$443,0),1),0)</f>
        <v>0</v>
      </c>
      <c r="AI8" s="4">
        <f>IFERROR(INDEX(ativos!$E$2:$E$443,MATCH(preços!AI$1&amp;preços!$A8,ativos!$A$2:$A$443,0),1),0)</f>
        <v>0</v>
      </c>
      <c r="AJ8" s="4">
        <f>IFERROR(INDEX(ativos!$E$2:$E$443,MATCH(preços!AJ$1&amp;preços!$A8,ativos!$A$2:$A$443,0),1),0)</f>
        <v>0</v>
      </c>
      <c r="AK8" s="4">
        <f>IFERROR(INDEX(ativos!$E$2:$E$443,MATCH(preços!AK$1&amp;preços!$A8,ativos!$A$2:$A$443,0),1),0)</f>
        <v>0</v>
      </c>
      <c r="AL8" s="4">
        <f>IFERROR(INDEX(ativos!$E$2:$E$443,MATCH(preços!AL$1&amp;preços!$A8,ativos!$A$2:$A$443,0),1),0)</f>
        <v>0</v>
      </c>
    </row>
    <row r="9" spans="1:38" x14ac:dyDescent="0.25">
      <c r="A9">
        <v>2004</v>
      </c>
      <c r="B9" s="4">
        <f>IFERROR(INDEX(ativos!$E$2:$E$443,MATCH(preços!B$1&amp;preços!$A9,ativos!$A$2:$A$443,0),1),0)</f>
        <v>8.69</v>
      </c>
      <c r="C9" s="4">
        <f>IFERROR(INDEX(ativos!$E$2:$E$443,MATCH(preços!C$1&amp;preços!$A9,ativos!$A$2:$A$443,0),1),0)</f>
        <v>0.56000000000000005</v>
      </c>
      <c r="D9" s="4">
        <f>IFERROR(INDEX(ativos!$E$2:$E$443,MATCH(preços!D$1&amp;preços!$A9,ativos!$A$2:$A$443,0),1),0)</f>
        <v>0</v>
      </c>
      <c r="E9" s="4">
        <f>IFERROR(INDEX(ativos!$E$2:$E$443,MATCH(preços!E$1&amp;preços!$A9,ativos!$A$2:$A$443,0),1),0)</f>
        <v>2.23</v>
      </c>
      <c r="F9" s="4">
        <f>IFERROR(INDEX(ativos!$E$2:$E$443,MATCH(preços!F$1&amp;preços!$A9,ativos!$A$2:$A$443,0),1),0)</f>
        <v>0</v>
      </c>
      <c r="G9" s="4">
        <f>IFERROR(INDEX(ativos!$E$2:$E$443,MATCH(preços!G$1&amp;preços!$A9,ativos!$A$2:$A$443,0),1),0)</f>
        <v>0</v>
      </c>
      <c r="H9" s="4">
        <f>IFERROR(INDEX(ativos!$E$2:$E$443,MATCH(preços!H$1&amp;preços!$A9,ativos!$A$2:$A$443,0),1),0)</f>
        <v>0</v>
      </c>
      <c r="I9" s="4">
        <f>IFERROR(INDEX(ativos!$E$2:$E$443,MATCH(preços!I$1&amp;preços!$A9,ativos!$A$2:$A$443,0),1),0)</f>
        <v>0</v>
      </c>
      <c r="J9" s="4">
        <f>IFERROR(INDEX(ativos!$E$2:$E$443,MATCH(preços!J$1&amp;preços!$A9,ativos!$A$2:$A$443,0),1),0)</f>
        <v>17.96</v>
      </c>
      <c r="K9" s="4">
        <f>IFERROR(INDEX(ativos!$E$2:$E$443,MATCH(preços!K$1&amp;preços!$A9,ativos!$A$2:$A$443,0),1),0)</f>
        <v>3.24</v>
      </c>
      <c r="L9" s="4">
        <f>IFERROR(INDEX(ativos!$E$2:$E$443,MATCH(preços!L$1&amp;preços!$A9,ativos!$A$2:$A$443,0),1),0)</f>
        <v>3.41</v>
      </c>
      <c r="M9" s="4">
        <f>IFERROR(INDEX(ativos!$E$2:$E$443,MATCH(preços!M$1&amp;preços!$A9,ativos!$A$2:$A$443,0),1),0)</f>
        <v>0</v>
      </c>
      <c r="N9" s="4">
        <f>IFERROR(INDEX(ativos!$E$2:$E$443,MATCH(preços!N$1&amp;preços!$A9,ativos!$A$2:$A$443,0),1),0)</f>
        <v>0</v>
      </c>
      <c r="O9" s="4">
        <f>IFERROR(INDEX(ativos!$E$2:$E$443,MATCH(preços!O$1&amp;preços!$A9,ativos!$A$2:$A$443,0),1),0)</f>
        <v>0</v>
      </c>
      <c r="P9" s="4">
        <f>IFERROR(INDEX(ativos!$E$2:$E$443,MATCH(preços!P$1&amp;preços!$A9,ativos!$A$2:$A$443,0),1),0)</f>
        <v>0</v>
      </c>
      <c r="Q9" s="4">
        <f>IFERROR(INDEX(ativos!$E$2:$E$443,MATCH(preços!Q$1&amp;preços!$A9,ativos!$A$2:$A$443,0),1),0)</f>
        <v>1.75</v>
      </c>
      <c r="R9" s="4">
        <f>IFERROR(INDEX(ativos!$E$2:$E$443,MATCH(preços!R$1&amp;preços!$A9,ativos!$A$2:$A$443,0),1),0)</f>
        <v>0</v>
      </c>
      <c r="S9" s="4">
        <f>IFERROR(INDEX(ativos!$E$2:$E$443,MATCH(preços!S$1&amp;preços!$A9,ativos!$A$2:$A$443,0),1),0)</f>
        <v>0</v>
      </c>
      <c r="T9" s="4">
        <f>IFERROR(INDEX(ativos!$E$2:$E$443,MATCH(preços!T$1&amp;preços!$A9,ativos!$A$2:$A$443,0),1),0)</f>
        <v>0</v>
      </c>
      <c r="U9" s="4">
        <f>IFERROR(INDEX(ativos!$E$2:$E$443,MATCH(preços!U$1&amp;preços!$A9,ativos!$A$2:$A$443,0),1),0)</f>
        <v>0</v>
      </c>
      <c r="V9" s="4">
        <f>IFERROR(INDEX(ativos!$E$2:$E$443,MATCH(preços!V$1&amp;preços!$A9,ativos!$A$2:$A$443,0),1),0)</f>
        <v>0</v>
      </c>
      <c r="W9" s="4">
        <f>IFERROR(INDEX(ativos!$E$2:$E$443,MATCH(preços!W$1&amp;preços!$A9,ativos!$A$2:$A$443,0),1),0)</f>
        <v>0</v>
      </c>
      <c r="X9" s="4">
        <f>IFERROR(INDEX(ativos!$E$2:$E$443,MATCH(preços!X$1&amp;preços!$A9,ativos!$A$2:$A$443,0),1),0)</f>
        <v>0</v>
      </c>
      <c r="Y9" s="4">
        <f>IFERROR(INDEX(ativos!$E$2:$E$443,MATCH(preços!Y$1&amp;preços!$A9,ativos!$A$2:$A$443,0),1),0)</f>
        <v>0</v>
      </c>
      <c r="Z9" s="4">
        <f>IFERROR(INDEX(ativos!$E$2:$E$443,MATCH(preços!Z$1&amp;preços!$A9,ativos!$A$2:$A$443,0),1),0)</f>
        <v>0</v>
      </c>
      <c r="AA9" s="4">
        <f>IFERROR(INDEX(ativos!$E$2:$E$443,MATCH(preços!AA$1&amp;preços!$A9,ativos!$A$2:$A$443,0),1),0)</f>
        <v>0</v>
      </c>
      <c r="AB9" s="4">
        <f>IFERROR(INDEX(ativos!$E$2:$E$443,MATCH(preços!AB$1&amp;preços!$A9,ativos!$A$2:$A$443,0),1),0)</f>
        <v>0</v>
      </c>
      <c r="AC9" s="4">
        <f>IFERROR(INDEX(ativos!$E$2:$E$443,MATCH(preços!AC$1&amp;preços!$A9,ativos!$A$2:$A$443,0),1),0)</f>
        <v>0</v>
      </c>
      <c r="AD9" s="4">
        <f>IFERROR(INDEX(ativos!$E$2:$E$443,MATCH(preços!AD$1&amp;preços!$A9,ativos!$A$2:$A$443,0),1),0)</f>
        <v>0</v>
      </c>
      <c r="AE9" s="4">
        <f>IFERROR(INDEX(ativos!$E$2:$E$443,MATCH(preços!AE$1&amp;preços!$A9,ativos!$A$2:$A$443,0),1),0)</f>
        <v>0</v>
      </c>
      <c r="AF9" s="4">
        <f>IFERROR(INDEX(ativos!$E$2:$E$443,MATCH(preços!AF$1&amp;preços!$A9,ativos!$A$2:$A$443,0),1),0)</f>
        <v>0</v>
      </c>
      <c r="AG9" s="4">
        <f>IFERROR(INDEX(ativos!$E$2:$E$443,MATCH(preços!AG$1&amp;preços!$A9,ativos!$A$2:$A$443,0),1),0)</f>
        <v>0</v>
      </c>
      <c r="AH9" s="4">
        <f>IFERROR(INDEX(ativos!$E$2:$E$443,MATCH(preços!AH$1&amp;preços!$A9,ativos!$A$2:$A$443,0),1),0)</f>
        <v>0</v>
      </c>
      <c r="AI9" s="4">
        <f>IFERROR(INDEX(ativos!$E$2:$E$443,MATCH(preços!AI$1&amp;preços!$A9,ativos!$A$2:$A$443,0),1),0)</f>
        <v>0</v>
      </c>
      <c r="AJ9" s="4">
        <f>IFERROR(INDEX(ativos!$E$2:$E$443,MATCH(preços!AJ$1&amp;preços!$A9,ativos!$A$2:$A$443,0),1),0)</f>
        <v>0</v>
      </c>
      <c r="AK9" s="4">
        <f>IFERROR(INDEX(ativos!$E$2:$E$443,MATCH(preços!AK$1&amp;preços!$A9,ativos!$A$2:$A$443,0),1),0)</f>
        <v>0</v>
      </c>
      <c r="AL9" s="4">
        <f>IFERROR(INDEX(ativos!$E$2:$E$443,MATCH(preços!AL$1&amp;preços!$A9,ativos!$A$2:$A$443,0),1),0)</f>
        <v>0</v>
      </c>
    </row>
    <row r="10" spans="1:38" x14ac:dyDescent="0.25">
      <c r="A10">
        <v>2005</v>
      </c>
      <c r="B10" s="4">
        <f>IFERROR(INDEX(ativos!$E$2:$E$443,MATCH(preços!B$1&amp;preços!$A10,ativos!$A$2:$A$443,0),1),0)</f>
        <v>10.97</v>
      </c>
      <c r="C10" s="4">
        <f>IFERROR(INDEX(ativos!$E$2:$E$443,MATCH(preços!C$1&amp;preços!$A10,ativos!$A$2:$A$443,0),1),0)</f>
        <v>0</v>
      </c>
      <c r="D10" s="4">
        <f>IFERROR(INDEX(ativos!$E$2:$E$443,MATCH(preços!D$1&amp;preços!$A10,ativos!$A$2:$A$443,0),1),0)</f>
        <v>0</v>
      </c>
      <c r="E10" s="4">
        <f>IFERROR(INDEX(ativos!$E$2:$E$443,MATCH(preços!E$1&amp;preços!$A10,ativos!$A$2:$A$443,0),1),0)</f>
        <v>2.89</v>
      </c>
      <c r="F10" s="4">
        <f>IFERROR(INDEX(ativos!$E$2:$E$443,MATCH(preços!F$1&amp;preços!$A10,ativos!$A$2:$A$443,0),1),0)</f>
        <v>0</v>
      </c>
      <c r="G10" s="4">
        <f>IFERROR(INDEX(ativos!$E$2:$E$443,MATCH(preços!G$1&amp;preços!$A10,ativos!$A$2:$A$443,0),1),0)</f>
        <v>1.61</v>
      </c>
      <c r="H10" s="4">
        <f>IFERROR(INDEX(ativos!$E$2:$E$443,MATCH(preços!H$1&amp;preços!$A10,ativos!$A$2:$A$443,0),1),0)</f>
        <v>0</v>
      </c>
      <c r="I10" s="4">
        <f>IFERROR(INDEX(ativos!$E$2:$E$443,MATCH(preços!I$1&amp;preços!$A10,ativos!$A$2:$A$443,0),1),0)</f>
        <v>0</v>
      </c>
      <c r="J10" s="4">
        <f>IFERROR(INDEX(ativos!$E$2:$E$443,MATCH(preços!J$1&amp;preços!$A10,ativos!$A$2:$A$443,0),1),0)</f>
        <v>35.14</v>
      </c>
      <c r="K10" s="4">
        <f>IFERROR(INDEX(ativos!$E$2:$E$443,MATCH(preços!K$1&amp;preços!$A10,ativos!$A$2:$A$443,0),1),0)</f>
        <v>4.91</v>
      </c>
      <c r="L10" s="4">
        <f>IFERROR(INDEX(ativos!$E$2:$E$443,MATCH(preços!L$1&amp;preços!$A10,ativos!$A$2:$A$443,0),1),0)</f>
        <v>5.52</v>
      </c>
      <c r="M10" s="4">
        <f>IFERROR(INDEX(ativos!$E$2:$E$443,MATCH(preços!M$1&amp;preços!$A10,ativos!$A$2:$A$443,0),1),0)</f>
        <v>0</v>
      </c>
      <c r="N10" s="4">
        <f>IFERROR(INDEX(ativos!$E$2:$E$443,MATCH(preços!N$1&amp;preços!$A10,ativos!$A$2:$A$443,0),1),0)</f>
        <v>0</v>
      </c>
      <c r="O10" s="4">
        <f>IFERROR(INDEX(ativos!$E$2:$E$443,MATCH(preços!O$1&amp;preços!$A10,ativos!$A$2:$A$443,0),1),0)</f>
        <v>0</v>
      </c>
      <c r="P10" s="4">
        <f>IFERROR(INDEX(ativos!$E$2:$E$443,MATCH(preços!P$1&amp;preços!$A10,ativos!$A$2:$A$443,0),1),0)</f>
        <v>0</v>
      </c>
      <c r="Q10" s="4">
        <f>IFERROR(INDEX(ativos!$E$2:$E$443,MATCH(preços!Q$1&amp;preços!$A10,ativos!$A$2:$A$443,0),1),0)</f>
        <v>2.2799999999999998</v>
      </c>
      <c r="R10" s="4">
        <f>IFERROR(INDEX(ativos!$E$2:$E$443,MATCH(preços!R$1&amp;preços!$A10,ativos!$A$2:$A$443,0),1),0)</f>
        <v>0</v>
      </c>
      <c r="S10" s="4">
        <f>IFERROR(INDEX(ativos!$E$2:$E$443,MATCH(preços!S$1&amp;preços!$A10,ativos!$A$2:$A$443,0),1),0)</f>
        <v>0</v>
      </c>
      <c r="T10" s="4">
        <f>IFERROR(INDEX(ativos!$E$2:$E$443,MATCH(preços!T$1&amp;preços!$A10,ativos!$A$2:$A$443,0),1),0)</f>
        <v>0</v>
      </c>
      <c r="U10" s="4">
        <f>IFERROR(INDEX(ativos!$E$2:$E$443,MATCH(preços!U$1&amp;preços!$A10,ativos!$A$2:$A$443,0),1),0)</f>
        <v>0</v>
      </c>
      <c r="V10" s="4">
        <f>IFERROR(INDEX(ativos!$E$2:$E$443,MATCH(preços!V$1&amp;preços!$A10,ativos!$A$2:$A$443,0),1),0)</f>
        <v>0</v>
      </c>
      <c r="W10" s="4">
        <f>IFERROR(INDEX(ativos!$E$2:$E$443,MATCH(preços!W$1&amp;preços!$A10,ativos!$A$2:$A$443,0),1),0)</f>
        <v>0</v>
      </c>
      <c r="X10" s="4">
        <f>IFERROR(INDEX(ativos!$E$2:$E$443,MATCH(preços!X$1&amp;preços!$A10,ativos!$A$2:$A$443,0),1),0)</f>
        <v>0</v>
      </c>
      <c r="Y10" s="4">
        <f>IFERROR(INDEX(ativos!$E$2:$E$443,MATCH(preços!Y$1&amp;preços!$A10,ativos!$A$2:$A$443,0),1),0)</f>
        <v>0</v>
      </c>
      <c r="Z10" s="4">
        <f>IFERROR(INDEX(ativos!$E$2:$E$443,MATCH(preços!Z$1&amp;preços!$A10,ativos!$A$2:$A$443,0),1),0)</f>
        <v>0</v>
      </c>
      <c r="AA10" s="4">
        <f>IFERROR(INDEX(ativos!$E$2:$E$443,MATCH(preços!AA$1&amp;preços!$A10,ativos!$A$2:$A$443,0),1),0)</f>
        <v>0</v>
      </c>
      <c r="AB10" s="4">
        <f>IFERROR(INDEX(ativos!$E$2:$E$443,MATCH(preços!AB$1&amp;preços!$A10,ativos!$A$2:$A$443,0),1),0)</f>
        <v>0</v>
      </c>
      <c r="AC10" s="4">
        <f>IFERROR(INDEX(ativos!$E$2:$E$443,MATCH(preços!AC$1&amp;preços!$A10,ativos!$A$2:$A$443,0),1),0)</f>
        <v>0</v>
      </c>
      <c r="AD10" s="4">
        <f>IFERROR(INDEX(ativos!$E$2:$E$443,MATCH(preços!AD$1&amp;preços!$A10,ativos!$A$2:$A$443,0),1),0)</f>
        <v>0</v>
      </c>
      <c r="AE10" s="4">
        <f>IFERROR(INDEX(ativos!$E$2:$E$443,MATCH(preços!AE$1&amp;preços!$A10,ativos!$A$2:$A$443,0),1),0)</f>
        <v>0</v>
      </c>
      <c r="AF10" s="4">
        <f>IFERROR(INDEX(ativos!$E$2:$E$443,MATCH(preços!AF$1&amp;preços!$A10,ativos!$A$2:$A$443,0),1),0)</f>
        <v>0</v>
      </c>
      <c r="AG10" s="4">
        <f>IFERROR(INDEX(ativos!$E$2:$E$443,MATCH(preços!AG$1&amp;preços!$A10,ativos!$A$2:$A$443,0),1),0)</f>
        <v>0</v>
      </c>
      <c r="AH10" s="4">
        <f>IFERROR(INDEX(ativos!$E$2:$E$443,MATCH(preços!AH$1&amp;preços!$A10,ativos!$A$2:$A$443,0),1),0)</f>
        <v>0</v>
      </c>
      <c r="AI10" s="4">
        <f>IFERROR(INDEX(ativos!$E$2:$E$443,MATCH(preços!AI$1&amp;preços!$A10,ativos!$A$2:$A$443,0),1),0)</f>
        <v>0</v>
      </c>
      <c r="AJ10" s="4">
        <f>IFERROR(INDEX(ativos!$E$2:$E$443,MATCH(preços!AJ$1&amp;preços!$A10,ativos!$A$2:$A$443,0),1),0)</f>
        <v>0</v>
      </c>
      <c r="AK10" s="4">
        <f>IFERROR(INDEX(ativos!$E$2:$E$443,MATCH(preços!AK$1&amp;preços!$A10,ativos!$A$2:$A$443,0),1),0)</f>
        <v>0</v>
      </c>
      <c r="AL10" s="4">
        <f>IFERROR(INDEX(ativos!$E$2:$E$443,MATCH(preços!AL$1&amp;preços!$A10,ativos!$A$2:$A$443,0),1),0)</f>
        <v>0</v>
      </c>
    </row>
    <row r="11" spans="1:38" x14ac:dyDescent="0.25">
      <c r="A11">
        <v>2006</v>
      </c>
      <c r="B11" s="4">
        <f>IFERROR(INDEX(ativos!$E$2:$E$443,MATCH(preços!B$1&amp;preços!$A11,ativos!$A$2:$A$443,0),1),0)</f>
        <v>21.14</v>
      </c>
      <c r="C11" s="4">
        <f>IFERROR(INDEX(ativos!$E$2:$E$443,MATCH(preços!C$1&amp;preços!$A11,ativos!$A$2:$A$443,0),1),0)</f>
        <v>0</v>
      </c>
      <c r="D11" s="4">
        <f>IFERROR(INDEX(ativos!$E$2:$E$443,MATCH(preços!D$1&amp;preços!$A11,ativos!$A$2:$A$443,0),1),0)</f>
        <v>2.06</v>
      </c>
      <c r="E11" s="4">
        <f>IFERROR(INDEX(ativos!$E$2:$E$443,MATCH(preços!E$1&amp;preços!$A11,ativos!$A$2:$A$443,0),1),0)</f>
        <v>4.88</v>
      </c>
      <c r="F11" s="4">
        <f>IFERROR(INDEX(ativos!$E$2:$E$443,MATCH(preços!F$1&amp;preços!$A11,ativos!$A$2:$A$443,0),1),0)</f>
        <v>0</v>
      </c>
      <c r="G11" s="4">
        <f>IFERROR(INDEX(ativos!$E$2:$E$443,MATCH(preços!G$1&amp;preços!$A11,ativos!$A$2:$A$443,0),1),0)</f>
        <v>2.35</v>
      </c>
      <c r="H11" s="4">
        <f>IFERROR(INDEX(ativos!$E$2:$E$443,MATCH(preços!H$1&amp;preços!$A11,ativos!$A$2:$A$443,0),1),0)</f>
        <v>0</v>
      </c>
      <c r="I11" s="4">
        <f>IFERROR(INDEX(ativos!$E$2:$E$443,MATCH(preços!I$1&amp;preços!$A11,ativos!$A$2:$A$443,0),1),0)</f>
        <v>6.49</v>
      </c>
      <c r="J11" s="4">
        <f>IFERROR(INDEX(ativos!$E$2:$E$443,MATCH(preços!J$1&amp;preços!$A11,ativos!$A$2:$A$443,0),1),0)</f>
        <v>21.34</v>
      </c>
      <c r="K11" s="4">
        <f>IFERROR(INDEX(ativos!$E$2:$E$443,MATCH(preços!K$1&amp;preços!$A11,ativos!$A$2:$A$443,0),1),0)</f>
        <v>8.5</v>
      </c>
      <c r="L11" s="4">
        <f>IFERROR(INDEX(ativos!$E$2:$E$443,MATCH(preços!L$1&amp;preços!$A11,ativos!$A$2:$A$443,0),1),0)</f>
        <v>8.18</v>
      </c>
      <c r="M11" s="4">
        <f>IFERROR(INDEX(ativos!$E$2:$E$443,MATCH(preços!M$1&amp;preços!$A11,ativos!$A$2:$A$443,0),1),0)</f>
        <v>0</v>
      </c>
      <c r="N11" s="4">
        <f>IFERROR(INDEX(ativos!$E$2:$E$443,MATCH(preços!N$1&amp;preços!$A11,ativos!$A$2:$A$443,0),1),0)</f>
        <v>0</v>
      </c>
      <c r="O11" s="4">
        <f>IFERROR(INDEX(ativos!$E$2:$E$443,MATCH(preços!O$1&amp;preços!$A11,ativos!$A$2:$A$443,0),1),0)</f>
        <v>0</v>
      </c>
      <c r="P11" s="4">
        <f>IFERROR(INDEX(ativos!$E$2:$E$443,MATCH(preços!P$1&amp;preços!$A11,ativos!$A$2:$A$443,0),1),0)</f>
        <v>0</v>
      </c>
      <c r="Q11" s="4">
        <f>IFERROR(INDEX(ativos!$E$2:$E$443,MATCH(preços!Q$1&amp;preços!$A11,ativos!$A$2:$A$443,0),1),0)</f>
        <v>6.91</v>
      </c>
      <c r="R11" s="4">
        <f>IFERROR(INDEX(ativos!$E$2:$E$443,MATCH(preços!R$1&amp;preços!$A11,ativos!$A$2:$A$443,0),1),0)</f>
        <v>0</v>
      </c>
      <c r="S11" s="4">
        <f>IFERROR(INDEX(ativos!$E$2:$E$443,MATCH(preços!S$1&amp;preços!$A11,ativos!$A$2:$A$443,0),1),0)</f>
        <v>0</v>
      </c>
      <c r="T11" s="4">
        <f>IFERROR(INDEX(ativos!$E$2:$E$443,MATCH(preços!T$1&amp;preços!$A11,ativos!$A$2:$A$443,0),1),0)</f>
        <v>0</v>
      </c>
      <c r="U11" s="4">
        <f>IFERROR(INDEX(ativos!$E$2:$E$443,MATCH(preços!U$1&amp;preços!$A11,ativos!$A$2:$A$443,0),1),0)</f>
        <v>0</v>
      </c>
      <c r="V11" s="4">
        <f>IFERROR(INDEX(ativos!$E$2:$E$443,MATCH(preços!V$1&amp;preços!$A11,ativos!$A$2:$A$443,0),1),0)</f>
        <v>0</v>
      </c>
      <c r="W11" s="4">
        <f>IFERROR(INDEX(ativos!$E$2:$E$443,MATCH(preços!W$1&amp;preços!$A11,ativos!$A$2:$A$443,0),1),0)</f>
        <v>0</v>
      </c>
      <c r="X11" s="4">
        <f>IFERROR(INDEX(ativos!$E$2:$E$443,MATCH(preços!X$1&amp;preços!$A11,ativos!$A$2:$A$443,0),1),0)</f>
        <v>0</v>
      </c>
      <c r="Y11" s="4">
        <f>IFERROR(INDEX(ativos!$E$2:$E$443,MATCH(preços!Y$1&amp;preços!$A11,ativos!$A$2:$A$443,0),1),0)</f>
        <v>0</v>
      </c>
      <c r="Z11" s="4">
        <f>IFERROR(INDEX(ativos!$E$2:$E$443,MATCH(preços!Z$1&amp;preços!$A11,ativos!$A$2:$A$443,0),1),0)</f>
        <v>0</v>
      </c>
      <c r="AA11" s="4">
        <f>IFERROR(INDEX(ativos!$E$2:$E$443,MATCH(preços!AA$1&amp;preços!$A11,ativos!$A$2:$A$443,0),1),0)</f>
        <v>0</v>
      </c>
      <c r="AB11" s="4">
        <f>IFERROR(INDEX(ativos!$E$2:$E$443,MATCH(preços!AB$1&amp;preços!$A11,ativos!$A$2:$A$443,0),1),0)</f>
        <v>0</v>
      </c>
      <c r="AC11" s="4">
        <f>IFERROR(INDEX(ativos!$E$2:$E$443,MATCH(preços!AC$1&amp;preços!$A11,ativos!$A$2:$A$443,0),1),0)</f>
        <v>0</v>
      </c>
      <c r="AD11" s="4">
        <f>IFERROR(INDEX(ativos!$E$2:$E$443,MATCH(preços!AD$1&amp;preços!$A11,ativos!$A$2:$A$443,0),1),0)</f>
        <v>0</v>
      </c>
      <c r="AE11" s="4">
        <f>IFERROR(INDEX(ativos!$E$2:$E$443,MATCH(preços!AE$1&amp;preços!$A11,ativos!$A$2:$A$443,0),1),0)</f>
        <v>0</v>
      </c>
      <c r="AF11" s="4">
        <f>IFERROR(INDEX(ativos!$E$2:$E$443,MATCH(preços!AF$1&amp;preços!$A11,ativos!$A$2:$A$443,0),1),0)</f>
        <v>0</v>
      </c>
      <c r="AG11" s="4">
        <f>IFERROR(INDEX(ativos!$E$2:$E$443,MATCH(preços!AG$1&amp;preços!$A11,ativos!$A$2:$A$443,0),1),0)</f>
        <v>0</v>
      </c>
      <c r="AH11" s="4">
        <f>IFERROR(INDEX(ativos!$E$2:$E$443,MATCH(preços!AH$1&amp;preços!$A11,ativos!$A$2:$A$443,0),1),0)</f>
        <v>0</v>
      </c>
      <c r="AI11" s="4">
        <f>IFERROR(INDEX(ativos!$E$2:$E$443,MATCH(preços!AI$1&amp;preços!$A11,ativos!$A$2:$A$443,0),1),0)</f>
        <v>0</v>
      </c>
      <c r="AJ11" s="4">
        <f>IFERROR(INDEX(ativos!$E$2:$E$443,MATCH(preços!AJ$1&amp;preços!$A11,ativos!$A$2:$A$443,0),1),0)</f>
        <v>0</v>
      </c>
      <c r="AK11" s="4">
        <f>IFERROR(INDEX(ativos!$E$2:$E$443,MATCH(preços!AK$1&amp;preços!$A11,ativos!$A$2:$A$443,0),1),0)</f>
        <v>0</v>
      </c>
      <c r="AL11" s="4">
        <f>IFERROR(INDEX(ativos!$E$2:$E$443,MATCH(preços!AL$1&amp;preços!$A11,ativos!$A$2:$A$443,0),1),0)</f>
        <v>0</v>
      </c>
    </row>
    <row r="12" spans="1:38" x14ac:dyDescent="0.25">
      <c r="A12">
        <v>2007</v>
      </c>
      <c r="B12" s="4">
        <f>IFERROR(INDEX(ativos!$E$2:$E$443,MATCH(preços!B$1&amp;preços!$A12,ativos!$A$2:$A$443,0),1),0)</f>
        <v>21.26</v>
      </c>
      <c r="C12" s="4">
        <f>IFERROR(INDEX(ativos!$E$2:$E$443,MATCH(preços!C$1&amp;preços!$A12,ativos!$A$2:$A$443,0),1),0)</f>
        <v>2.69</v>
      </c>
      <c r="D12" s="4">
        <f>IFERROR(INDEX(ativos!$E$2:$E$443,MATCH(preços!D$1&amp;preços!$A12,ativos!$A$2:$A$443,0),1),0)</f>
        <v>3.26</v>
      </c>
      <c r="E12" s="4">
        <f>IFERROR(INDEX(ativos!$E$2:$E$443,MATCH(preços!E$1&amp;preços!$A12,ativos!$A$2:$A$443,0),1),0)</f>
        <v>5.75</v>
      </c>
      <c r="F12" s="4">
        <f>IFERROR(INDEX(ativos!$E$2:$E$443,MATCH(preços!F$1&amp;preços!$A12,ativos!$A$2:$A$443,0),1),0)</f>
        <v>0</v>
      </c>
      <c r="G12" s="4">
        <f>IFERROR(INDEX(ativos!$E$2:$E$443,MATCH(preços!G$1&amp;preços!$A12,ativos!$A$2:$A$443,0),1),0)</f>
        <v>5.45</v>
      </c>
      <c r="H12" s="4">
        <f>IFERROR(INDEX(ativos!$E$2:$E$443,MATCH(preços!H$1&amp;preços!$A12,ativos!$A$2:$A$443,0),1),0)</f>
        <v>0</v>
      </c>
      <c r="I12" s="4">
        <f>IFERROR(INDEX(ativos!$E$2:$E$443,MATCH(preços!I$1&amp;preços!$A12,ativos!$A$2:$A$443,0),1),0)</f>
        <v>7.59</v>
      </c>
      <c r="J12" s="4">
        <f>IFERROR(INDEX(ativos!$E$2:$E$443,MATCH(preços!J$1&amp;preços!$A12,ativos!$A$2:$A$443,0),1),0)</f>
        <v>26.96</v>
      </c>
      <c r="K12" s="4">
        <f>IFERROR(INDEX(ativos!$E$2:$E$443,MATCH(preços!K$1&amp;preços!$A12,ativos!$A$2:$A$443,0),1),0)</f>
        <v>11.04</v>
      </c>
      <c r="L12" s="4">
        <f>IFERROR(INDEX(ativos!$E$2:$E$443,MATCH(preços!L$1&amp;preços!$A12,ativos!$A$2:$A$443,0),1),0)</f>
        <v>9.89</v>
      </c>
      <c r="M12" s="4">
        <f>IFERROR(INDEX(ativos!$E$2:$E$443,MATCH(preços!M$1&amp;preços!$A12,ativos!$A$2:$A$443,0),1),0)</f>
        <v>0</v>
      </c>
      <c r="N12" s="4">
        <f>IFERROR(INDEX(ativos!$E$2:$E$443,MATCH(preços!N$1&amp;preços!$A12,ativos!$A$2:$A$443,0),1),0)</f>
        <v>2.5099999999999998</v>
      </c>
      <c r="O12" s="4">
        <f>IFERROR(INDEX(ativos!$E$2:$E$443,MATCH(preços!O$1&amp;preços!$A12,ativos!$A$2:$A$443,0),1),0)</f>
        <v>1.78</v>
      </c>
      <c r="P12" s="4">
        <f>IFERROR(INDEX(ativos!$E$2:$E$443,MATCH(preços!P$1&amp;preços!$A12,ativos!$A$2:$A$443,0),1),0)</f>
        <v>0</v>
      </c>
      <c r="Q12" s="4">
        <f>IFERROR(INDEX(ativos!$E$2:$E$443,MATCH(preços!Q$1&amp;preços!$A12,ativos!$A$2:$A$443,0),1),0)</f>
        <v>7.19</v>
      </c>
      <c r="R12" s="4">
        <f>IFERROR(INDEX(ativos!$E$2:$E$443,MATCH(preços!R$1&amp;preços!$A12,ativos!$A$2:$A$443,0),1),0)</f>
        <v>0</v>
      </c>
      <c r="S12" s="4">
        <f>IFERROR(INDEX(ativos!$E$2:$E$443,MATCH(preços!S$1&amp;preços!$A12,ativos!$A$2:$A$443,0),1),0)</f>
        <v>0</v>
      </c>
      <c r="T12" s="4">
        <f>IFERROR(INDEX(ativos!$E$2:$E$443,MATCH(preços!T$1&amp;preços!$A12,ativos!$A$2:$A$443,0),1),0)</f>
        <v>0</v>
      </c>
      <c r="U12" s="4">
        <f>IFERROR(INDEX(ativos!$E$2:$E$443,MATCH(preços!U$1&amp;preços!$A12,ativos!$A$2:$A$443,0),1),0)</f>
        <v>0</v>
      </c>
      <c r="V12" s="4">
        <f>IFERROR(INDEX(ativos!$E$2:$E$443,MATCH(preços!V$1&amp;preços!$A12,ativos!$A$2:$A$443,0),1),0)</f>
        <v>0</v>
      </c>
      <c r="W12" s="4">
        <f>IFERROR(INDEX(ativos!$E$2:$E$443,MATCH(preços!W$1&amp;preços!$A12,ativos!$A$2:$A$443,0),1),0)</f>
        <v>0</v>
      </c>
      <c r="X12" s="4">
        <f>IFERROR(INDEX(ativos!$E$2:$E$443,MATCH(preços!X$1&amp;preços!$A12,ativos!$A$2:$A$443,0),1),0)</f>
        <v>0</v>
      </c>
      <c r="Y12" s="4">
        <f>IFERROR(INDEX(ativos!$E$2:$E$443,MATCH(preços!Y$1&amp;preços!$A12,ativos!$A$2:$A$443,0),1),0)</f>
        <v>0</v>
      </c>
      <c r="Z12" s="4">
        <f>IFERROR(INDEX(ativos!$E$2:$E$443,MATCH(preços!Z$1&amp;preços!$A12,ativos!$A$2:$A$443,0),1),0)</f>
        <v>0</v>
      </c>
      <c r="AA12" s="4">
        <f>IFERROR(INDEX(ativos!$E$2:$E$443,MATCH(preços!AA$1&amp;preços!$A12,ativos!$A$2:$A$443,0),1),0)</f>
        <v>0</v>
      </c>
      <c r="AB12" s="4">
        <f>IFERROR(INDEX(ativos!$E$2:$E$443,MATCH(preços!AB$1&amp;preços!$A12,ativos!$A$2:$A$443,0),1),0)</f>
        <v>0</v>
      </c>
      <c r="AC12" s="4">
        <f>IFERROR(INDEX(ativos!$E$2:$E$443,MATCH(preços!AC$1&amp;preços!$A12,ativos!$A$2:$A$443,0),1),0)</f>
        <v>0</v>
      </c>
      <c r="AD12" s="4">
        <f>IFERROR(INDEX(ativos!$E$2:$E$443,MATCH(preços!AD$1&amp;preços!$A12,ativos!$A$2:$A$443,0),1),0)</f>
        <v>0</v>
      </c>
      <c r="AE12" s="4">
        <f>IFERROR(INDEX(ativos!$E$2:$E$443,MATCH(preços!AE$1&amp;preços!$A12,ativos!$A$2:$A$443,0),1),0)</f>
        <v>0</v>
      </c>
      <c r="AF12" s="4">
        <f>IFERROR(INDEX(ativos!$E$2:$E$443,MATCH(preços!AF$1&amp;preços!$A12,ativos!$A$2:$A$443,0),1),0)</f>
        <v>0</v>
      </c>
      <c r="AG12" s="4">
        <f>IFERROR(INDEX(ativos!$E$2:$E$443,MATCH(preços!AG$1&amp;preços!$A12,ativos!$A$2:$A$443,0),1),0)</f>
        <v>0</v>
      </c>
      <c r="AH12" s="4">
        <f>IFERROR(INDEX(ativos!$E$2:$E$443,MATCH(preços!AH$1&amp;preços!$A12,ativos!$A$2:$A$443,0),1),0)</f>
        <v>0</v>
      </c>
      <c r="AI12" s="4">
        <f>IFERROR(INDEX(ativos!$E$2:$E$443,MATCH(preços!AI$1&amp;preços!$A12,ativos!$A$2:$A$443,0),1),0)</f>
        <v>0</v>
      </c>
      <c r="AJ12" s="4">
        <f>IFERROR(INDEX(ativos!$E$2:$E$443,MATCH(preços!AJ$1&amp;preços!$A12,ativos!$A$2:$A$443,0),1),0)</f>
        <v>0</v>
      </c>
      <c r="AK12" s="4">
        <f>IFERROR(INDEX(ativos!$E$2:$E$443,MATCH(preços!AK$1&amp;preços!$A12,ativos!$A$2:$A$443,0),1),0)</f>
        <v>0</v>
      </c>
      <c r="AL12" s="4">
        <f>IFERROR(INDEX(ativos!$E$2:$E$443,MATCH(preços!AL$1&amp;preços!$A12,ativos!$A$2:$A$443,0),1),0)</f>
        <v>0</v>
      </c>
    </row>
    <row r="13" spans="1:38" x14ac:dyDescent="0.25">
      <c r="A13">
        <v>2008</v>
      </c>
      <c r="B13" s="4">
        <f>IFERROR(INDEX(ativos!$E$2:$E$443,MATCH(preços!B$1&amp;preços!$A13,ativos!$A$2:$A$443,0),1),0)</f>
        <v>39.82</v>
      </c>
      <c r="C13" s="4">
        <f>IFERROR(INDEX(ativos!$E$2:$E$443,MATCH(preços!C$1&amp;preços!$A13,ativos!$A$2:$A$443,0),1),0)</f>
        <v>2.29</v>
      </c>
      <c r="D13" s="4">
        <f>IFERROR(INDEX(ativos!$E$2:$E$443,MATCH(preços!D$1&amp;preços!$A13,ativos!$A$2:$A$443,0),1),0)</f>
        <v>3.05</v>
      </c>
      <c r="E13" s="4">
        <f>IFERROR(INDEX(ativos!$E$2:$E$443,MATCH(preços!E$1&amp;preços!$A13,ativos!$A$2:$A$443,0),1),0)</f>
        <v>6.07</v>
      </c>
      <c r="F13" s="4">
        <f>IFERROR(INDEX(ativos!$E$2:$E$443,MATCH(preços!F$1&amp;preços!$A13,ativos!$A$2:$A$443,0),1),0)</f>
        <v>0</v>
      </c>
      <c r="G13" s="4">
        <f>IFERROR(INDEX(ativos!$E$2:$E$443,MATCH(preços!G$1&amp;preços!$A13,ativos!$A$2:$A$443,0),1),0)</f>
        <v>4.7699999999999996</v>
      </c>
      <c r="H13" s="4">
        <f>IFERROR(INDEX(ativos!$E$2:$E$443,MATCH(preços!H$1&amp;preços!$A13,ativos!$A$2:$A$443,0),1),0)</f>
        <v>0</v>
      </c>
      <c r="I13" s="4">
        <f>IFERROR(INDEX(ativos!$E$2:$E$443,MATCH(preços!I$1&amp;preços!$A13,ativos!$A$2:$A$443,0),1),0)</f>
        <v>8.3699999999999992</v>
      </c>
      <c r="J13" s="4">
        <f>IFERROR(INDEX(ativos!$E$2:$E$443,MATCH(preços!J$1&amp;preços!$A13,ativos!$A$2:$A$443,0),1),0)</f>
        <v>3.2</v>
      </c>
      <c r="K13" s="4">
        <f>IFERROR(INDEX(ativos!$E$2:$E$443,MATCH(preços!K$1&amp;preços!$A13,ativos!$A$2:$A$443,0),1),0)</f>
        <v>14.11</v>
      </c>
      <c r="L13" s="4">
        <f>IFERROR(INDEX(ativos!$E$2:$E$443,MATCH(preços!L$1&amp;preços!$A13,ativos!$A$2:$A$443,0),1),0)</f>
        <v>12.3</v>
      </c>
      <c r="M13" s="4">
        <f>IFERROR(INDEX(ativos!$E$2:$E$443,MATCH(preços!M$1&amp;preços!$A13,ativos!$A$2:$A$443,0),1),0)</f>
        <v>0</v>
      </c>
      <c r="N13" s="4">
        <f>IFERROR(INDEX(ativos!$E$2:$E$443,MATCH(preços!N$1&amp;preços!$A13,ativos!$A$2:$A$443,0),1),0)</f>
        <v>2.44</v>
      </c>
      <c r="O13" s="4">
        <f>IFERROR(INDEX(ativos!$E$2:$E$443,MATCH(preços!O$1&amp;preços!$A13,ativos!$A$2:$A$443,0),1),0)</f>
        <v>1.75</v>
      </c>
      <c r="P13" s="4">
        <f>IFERROR(INDEX(ativos!$E$2:$E$443,MATCH(preços!P$1&amp;preços!$A13,ativos!$A$2:$A$443,0),1),0)</f>
        <v>0</v>
      </c>
      <c r="Q13" s="4">
        <f>IFERROR(INDEX(ativos!$E$2:$E$443,MATCH(preços!Q$1&amp;preços!$A13,ativos!$A$2:$A$443,0),1),0)</f>
        <v>7.47</v>
      </c>
      <c r="R13" s="4">
        <f>IFERROR(INDEX(ativos!$E$2:$E$443,MATCH(preços!R$1&amp;preços!$A13,ativos!$A$2:$A$443,0),1),0)</f>
        <v>0</v>
      </c>
      <c r="S13" s="4">
        <f>IFERROR(INDEX(ativos!$E$2:$E$443,MATCH(preços!S$1&amp;preços!$A13,ativos!$A$2:$A$443,0),1),0)</f>
        <v>0</v>
      </c>
      <c r="T13" s="4">
        <f>IFERROR(INDEX(ativos!$E$2:$E$443,MATCH(preços!T$1&amp;preços!$A13,ativos!$A$2:$A$443,0),1),0)</f>
        <v>0</v>
      </c>
      <c r="U13" s="4">
        <f>IFERROR(INDEX(ativos!$E$2:$E$443,MATCH(preços!U$1&amp;preços!$A13,ativos!$A$2:$A$443,0),1),0)</f>
        <v>0</v>
      </c>
      <c r="V13" s="4">
        <f>IFERROR(INDEX(ativos!$E$2:$E$443,MATCH(preços!V$1&amp;preços!$A13,ativos!$A$2:$A$443,0),1),0)</f>
        <v>0</v>
      </c>
      <c r="W13" s="4">
        <f>IFERROR(INDEX(ativos!$E$2:$E$443,MATCH(preços!W$1&amp;preços!$A13,ativos!$A$2:$A$443,0),1),0)</f>
        <v>0</v>
      </c>
      <c r="X13" s="4">
        <f>IFERROR(INDEX(ativos!$E$2:$E$443,MATCH(preços!X$1&amp;preços!$A13,ativos!$A$2:$A$443,0),1),0)</f>
        <v>0</v>
      </c>
      <c r="Y13" s="4">
        <f>IFERROR(INDEX(ativos!$E$2:$E$443,MATCH(preços!Y$1&amp;preços!$A13,ativos!$A$2:$A$443,0),1),0)</f>
        <v>0</v>
      </c>
      <c r="Z13" s="4">
        <f>IFERROR(INDEX(ativos!$E$2:$E$443,MATCH(preços!Z$1&amp;preços!$A13,ativos!$A$2:$A$443,0),1),0)</f>
        <v>0</v>
      </c>
      <c r="AA13" s="4">
        <f>IFERROR(INDEX(ativos!$E$2:$E$443,MATCH(preços!AA$1&amp;preços!$A13,ativos!$A$2:$A$443,0),1),0)</f>
        <v>0</v>
      </c>
      <c r="AB13" s="4">
        <f>IFERROR(INDEX(ativos!$E$2:$E$443,MATCH(preços!AB$1&amp;preços!$A13,ativos!$A$2:$A$443,0),1),0)</f>
        <v>0</v>
      </c>
      <c r="AC13" s="4">
        <f>IFERROR(INDEX(ativos!$E$2:$E$443,MATCH(preços!AC$1&amp;preços!$A13,ativos!$A$2:$A$443,0),1),0)</f>
        <v>0</v>
      </c>
      <c r="AD13" s="4">
        <f>IFERROR(INDEX(ativos!$E$2:$E$443,MATCH(preços!AD$1&amp;preços!$A13,ativos!$A$2:$A$443,0),1),0)</f>
        <v>0</v>
      </c>
      <c r="AE13" s="4">
        <f>IFERROR(INDEX(ativos!$E$2:$E$443,MATCH(preços!AE$1&amp;preços!$A13,ativos!$A$2:$A$443,0),1),0)</f>
        <v>0</v>
      </c>
      <c r="AF13" s="4">
        <f>IFERROR(INDEX(ativos!$E$2:$E$443,MATCH(preços!AF$1&amp;preços!$A13,ativos!$A$2:$A$443,0),1),0)</f>
        <v>0</v>
      </c>
      <c r="AG13" s="4">
        <f>IFERROR(INDEX(ativos!$E$2:$E$443,MATCH(preços!AG$1&amp;preços!$A13,ativos!$A$2:$A$443,0),1),0)</f>
        <v>0</v>
      </c>
      <c r="AH13" s="4">
        <f>IFERROR(INDEX(ativos!$E$2:$E$443,MATCH(preços!AH$1&amp;preços!$A13,ativos!$A$2:$A$443,0),1),0)</f>
        <v>0</v>
      </c>
      <c r="AI13" s="4">
        <f>IFERROR(INDEX(ativos!$E$2:$E$443,MATCH(preços!AI$1&amp;preços!$A13,ativos!$A$2:$A$443,0),1),0)</f>
        <v>0</v>
      </c>
      <c r="AJ13" s="4">
        <f>IFERROR(INDEX(ativos!$E$2:$E$443,MATCH(preços!AJ$1&amp;preços!$A13,ativos!$A$2:$A$443,0),1),0)</f>
        <v>0</v>
      </c>
      <c r="AK13" s="4">
        <f>IFERROR(INDEX(ativos!$E$2:$E$443,MATCH(preços!AK$1&amp;preços!$A13,ativos!$A$2:$A$443,0),1),0)</f>
        <v>0</v>
      </c>
      <c r="AL13" s="4">
        <f>IFERROR(INDEX(ativos!$E$2:$E$443,MATCH(preços!AL$1&amp;preços!$A13,ativos!$A$2:$A$443,0),1),0)</f>
        <v>0</v>
      </c>
    </row>
    <row r="14" spans="1:38" x14ac:dyDescent="0.25">
      <c r="A14">
        <v>2009</v>
      </c>
      <c r="B14" s="4">
        <f>IFERROR(INDEX(ativos!$E$2:$E$443,MATCH(preços!B$1&amp;preços!$A14,ativos!$A$2:$A$443,0),1),0)</f>
        <v>25.55</v>
      </c>
      <c r="C14" s="4">
        <f>IFERROR(INDEX(ativos!$E$2:$E$443,MATCH(preços!C$1&amp;preços!$A14,ativos!$A$2:$A$443,0),1),0)</f>
        <v>1.29</v>
      </c>
      <c r="D14" s="4">
        <f>IFERROR(INDEX(ativos!$E$2:$E$443,MATCH(preços!D$1&amp;preços!$A14,ativos!$A$2:$A$443,0),1),0)</f>
        <v>1.63</v>
      </c>
      <c r="E14" s="4">
        <f>IFERROR(INDEX(ativos!$E$2:$E$443,MATCH(preços!E$1&amp;preços!$A14,ativos!$A$2:$A$443,0),1),0)</f>
        <v>4.55</v>
      </c>
      <c r="F14" s="4">
        <f>IFERROR(INDEX(ativos!$E$2:$E$443,MATCH(preços!F$1&amp;preços!$A14,ativos!$A$2:$A$443,0),1),0)</f>
        <v>1.38</v>
      </c>
      <c r="G14" s="4">
        <f>IFERROR(INDEX(ativos!$E$2:$E$443,MATCH(preços!G$1&amp;preços!$A14,ativos!$A$2:$A$443,0),1),0)</f>
        <v>3.63</v>
      </c>
      <c r="H14" s="4">
        <f>IFERROR(INDEX(ativos!$E$2:$E$443,MATCH(preços!H$1&amp;preços!$A14,ativos!$A$2:$A$443,0),1),0)</f>
        <v>0</v>
      </c>
      <c r="I14" s="4">
        <f>IFERROR(INDEX(ativos!$E$2:$E$443,MATCH(preços!I$1&amp;preços!$A14,ativos!$A$2:$A$443,0),1),0)</f>
        <v>8.1999999999999993</v>
      </c>
      <c r="J14" s="4">
        <f>IFERROR(INDEX(ativos!$E$2:$E$443,MATCH(preços!J$1&amp;preços!$A14,ativos!$A$2:$A$443,0),1),0)</f>
        <v>2.31</v>
      </c>
      <c r="K14" s="4">
        <f>IFERROR(INDEX(ativos!$E$2:$E$443,MATCH(preços!K$1&amp;preços!$A14,ativos!$A$2:$A$443,0),1),0)</f>
        <v>7.23</v>
      </c>
      <c r="L14" s="4">
        <f>IFERROR(INDEX(ativos!$E$2:$E$443,MATCH(preços!L$1&amp;preços!$A14,ativos!$A$2:$A$443,0),1),0)</f>
        <v>8.11</v>
      </c>
      <c r="M14" s="4">
        <f>IFERROR(INDEX(ativos!$E$2:$E$443,MATCH(preços!M$1&amp;preços!$A14,ativos!$A$2:$A$443,0),1),0)</f>
        <v>0</v>
      </c>
      <c r="N14" s="4">
        <f>IFERROR(INDEX(ativos!$E$2:$E$443,MATCH(preços!N$1&amp;preços!$A14,ativos!$A$2:$A$443,0),1),0)</f>
        <v>2.12</v>
      </c>
      <c r="O14" s="4">
        <f>IFERROR(INDEX(ativos!$E$2:$E$443,MATCH(preços!O$1&amp;preços!$A14,ativos!$A$2:$A$443,0),1),0)</f>
        <v>1.1100000000000001</v>
      </c>
      <c r="P14" s="4">
        <f>IFERROR(INDEX(ativos!$E$2:$E$443,MATCH(preços!P$1&amp;preços!$A14,ativos!$A$2:$A$443,0),1),0)</f>
        <v>0</v>
      </c>
      <c r="Q14" s="4">
        <f>IFERROR(INDEX(ativos!$E$2:$E$443,MATCH(preços!Q$1&amp;preços!$A14,ativos!$A$2:$A$443,0),1),0)</f>
        <v>4.93</v>
      </c>
      <c r="R14" s="4">
        <f>IFERROR(INDEX(ativos!$E$2:$E$443,MATCH(preços!R$1&amp;preços!$A14,ativos!$A$2:$A$443,0),1),0)</f>
        <v>0</v>
      </c>
      <c r="S14" s="4">
        <f>IFERROR(INDEX(ativos!$E$2:$E$443,MATCH(preços!S$1&amp;preços!$A14,ativos!$A$2:$A$443,0),1),0)</f>
        <v>0</v>
      </c>
      <c r="T14" s="4">
        <f>IFERROR(INDEX(ativos!$E$2:$E$443,MATCH(preços!T$1&amp;preços!$A14,ativos!$A$2:$A$443,0),1),0)</f>
        <v>0</v>
      </c>
      <c r="U14" s="4">
        <f>IFERROR(INDEX(ativos!$E$2:$E$443,MATCH(preços!U$1&amp;preços!$A14,ativos!$A$2:$A$443,0),1),0)</f>
        <v>0</v>
      </c>
      <c r="V14" s="4">
        <f>IFERROR(INDEX(ativos!$E$2:$E$443,MATCH(preços!V$1&amp;preços!$A14,ativos!$A$2:$A$443,0),1),0)</f>
        <v>0</v>
      </c>
      <c r="W14" s="4">
        <f>IFERROR(INDEX(ativos!$E$2:$E$443,MATCH(preços!W$1&amp;preços!$A14,ativos!$A$2:$A$443,0),1),0)</f>
        <v>0</v>
      </c>
      <c r="X14" s="4">
        <f>IFERROR(INDEX(ativos!$E$2:$E$443,MATCH(preços!X$1&amp;preços!$A14,ativos!$A$2:$A$443,0),1),0)</f>
        <v>0</v>
      </c>
      <c r="Y14" s="4">
        <f>IFERROR(INDEX(ativos!$E$2:$E$443,MATCH(preços!Y$1&amp;preços!$A14,ativos!$A$2:$A$443,0),1),0)</f>
        <v>0</v>
      </c>
      <c r="Z14" s="4">
        <f>IFERROR(INDEX(ativos!$E$2:$E$443,MATCH(preços!Z$1&amp;preços!$A14,ativos!$A$2:$A$443,0),1),0)</f>
        <v>0</v>
      </c>
      <c r="AA14" s="4">
        <f>IFERROR(INDEX(ativos!$E$2:$E$443,MATCH(preços!AA$1&amp;preços!$A14,ativos!$A$2:$A$443,0),1),0)</f>
        <v>0</v>
      </c>
      <c r="AB14" s="4">
        <f>IFERROR(INDEX(ativos!$E$2:$E$443,MATCH(preços!AB$1&amp;preços!$A14,ativos!$A$2:$A$443,0),1),0)</f>
        <v>0</v>
      </c>
      <c r="AC14" s="4">
        <f>IFERROR(INDEX(ativos!$E$2:$E$443,MATCH(preços!AC$1&amp;preços!$A14,ativos!$A$2:$A$443,0),1),0)</f>
        <v>0</v>
      </c>
      <c r="AD14" s="4">
        <f>IFERROR(INDEX(ativos!$E$2:$E$443,MATCH(preços!AD$1&amp;preços!$A14,ativos!$A$2:$A$443,0),1),0)</f>
        <v>0</v>
      </c>
      <c r="AE14" s="4">
        <f>IFERROR(INDEX(ativos!$E$2:$E$443,MATCH(preços!AE$1&amp;preços!$A14,ativos!$A$2:$A$443,0),1),0)</f>
        <v>0</v>
      </c>
      <c r="AF14" s="4">
        <f>IFERROR(INDEX(ativos!$E$2:$E$443,MATCH(preços!AF$1&amp;preços!$A14,ativos!$A$2:$A$443,0),1),0)</f>
        <v>0</v>
      </c>
      <c r="AG14" s="4">
        <f>IFERROR(INDEX(ativos!$E$2:$E$443,MATCH(preços!AG$1&amp;preços!$A14,ativos!$A$2:$A$443,0),1),0)</f>
        <v>0</v>
      </c>
      <c r="AH14" s="4">
        <f>IFERROR(INDEX(ativos!$E$2:$E$443,MATCH(preços!AH$1&amp;preços!$A14,ativos!$A$2:$A$443,0),1),0)</f>
        <v>0</v>
      </c>
      <c r="AI14" s="4">
        <f>IFERROR(INDEX(ativos!$E$2:$E$443,MATCH(preços!AI$1&amp;preços!$A14,ativos!$A$2:$A$443,0),1),0)</f>
        <v>0</v>
      </c>
      <c r="AJ14" s="4">
        <f>IFERROR(INDEX(ativos!$E$2:$E$443,MATCH(preços!AJ$1&amp;preços!$A14,ativos!$A$2:$A$443,0),1),0)</f>
        <v>0</v>
      </c>
      <c r="AK14" s="4">
        <f>IFERROR(INDEX(ativos!$E$2:$E$443,MATCH(preços!AK$1&amp;preços!$A14,ativos!$A$2:$A$443,0),1),0)</f>
        <v>0</v>
      </c>
      <c r="AL14" s="4">
        <f>IFERROR(INDEX(ativos!$E$2:$E$443,MATCH(preços!AL$1&amp;preços!$A14,ativos!$A$2:$A$443,0),1),0)</f>
        <v>0</v>
      </c>
    </row>
    <row r="15" spans="1:38" x14ac:dyDescent="0.25">
      <c r="A15">
        <v>2010</v>
      </c>
      <c r="B15" s="4">
        <f>IFERROR(INDEX(ativos!$E$2:$E$443,MATCH(preços!B$1&amp;preços!$A15,ativos!$A$2:$A$443,0),1),0)</f>
        <v>32.909999999999997</v>
      </c>
      <c r="C15" s="4">
        <f>IFERROR(INDEX(ativos!$E$2:$E$443,MATCH(preços!C$1&amp;preços!$A15,ativos!$A$2:$A$443,0),1),0)</f>
        <v>2.0699999999999998</v>
      </c>
      <c r="D15" s="4">
        <f>IFERROR(INDEX(ativos!$E$2:$E$443,MATCH(preços!D$1&amp;preços!$A15,ativos!$A$2:$A$443,0),1),0)</f>
        <v>4.2</v>
      </c>
      <c r="E15" s="4">
        <f>IFERROR(INDEX(ativos!$E$2:$E$443,MATCH(preços!E$1&amp;preços!$A15,ativos!$A$2:$A$443,0),1),0)</f>
        <v>7.56</v>
      </c>
      <c r="F15" s="4">
        <f>IFERROR(INDEX(ativos!$E$2:$E$443,MATCH(preços!F$1&amp;preços!$A15,ativos!$A$2:$A$443,0),1),0)</f>
        <v>2.68</v>
      </c>
      <c r="G15" s="4">
        <f>IFERROR(INDEX(ativos!$E$2:$E$443,MATCH(preços!G$1&amp;preços!$A15,ativos!$A$2:$A$443,0),1),0)</f>
        <v>5.16</v>
      </c>
      <c r="H15" s="4">
        <f>IFERROR(INDEX(ativos!$E$2:$E$443,MATCH(preços!H$1&amp;preços!$A15,ativos!$A$2:$A$443,0),1),0)</f>
        <v>7.14</v>
      </c>
      <c r="I15" s="4">
        <f>IFERROR(INDEX(ativos!$E$2:$E$443,MATCH(preços!I$1&amp;preços!$A15,ativos!$A$2:$A$443,0),1),0)</f>
        <v>9.64</v>
      </c>
      <c r="J15" s="4">
        <f>IFERROR(INDEX(ativos!$E$2:$E$443,MATCH(preços!J$1&amp;preços!$A15,ativos!$A$2:$A$443,0),1),0)</f>
        <v>4.3600000000000003</v>
      </c>
      <c r="K15" s="4">
        <f>IFERROR(INDEX(ativos!$E$2:$E$443,MATCH(preços!K$1&amp;preços!$A15,ativos!$A$2:$A$443,0),1),0)</f>
        <v>15.35</v>
      </c>
      <c r="L15" s="4">
        <f>IFERROR(INDEX(ativos!$E$2:$E$443,MATCH(preços!L$1&amp;preços!$A15,ativos!$A$2:$A$443,0),1),0)</f>
        <v>13.49</v>
      </c>
      <c r="M15" s="4">
        <f>IFERROR(INDEX(ativos!$E$2:$E$443,MATCH(preços!M$1&amp;preços!$A15,ativos!$A$2:$A$443,0),1),0)</f>
        <v>0</v>
      </c>
      <c r="N15" s="4">
        <f>IFERROR(INDEX(ativos!$E$2:$E$443,MATCH(preços!N$1&amp;preços!$A15,ativos!$A$2:$A$443,0),1),0)</f>
        <v>6.31</v>
      </c>
      <c r="O15" s="4">
        <f>IFERROR(INDEX(ativos!$E$2:$E$443,MATCH(preços!O$1&amp;preços!$A15,ativos!$A$2:$A$443,0),1),0)</f>
        <v>2.92</v>
      </c>
      <c r="P15" s="4">
        <f>IFERROR(INDEX(ativos!$E$2:$E$443,MATCH(preços!P$1&amp;preços!$A15,ativos!$A$2:$A$443,0),1),0)</f>
        <v>0</v>
      </c>
      <c r="Q15" s="4">
        <f>IFERROR(INDEX(ativos!$E$2:$E$443,MATCH(preços!Q$1&amp;preços!$A15,ativos!$A$2:$A$443,0),1),0)</f>
        <v>7.89</v>
      </c>
      <c r="R15" s="4">
        <f>IFERROR(INDEX(ativos!$E$2:$E$443,MATCH(preços!R$1&amp;preços!$A15,ativos!$A$2:$A$443,0),1),0)</f>
        <v>0</v>
      </c>
      <c r="S15" s="4">
        <f>IFERROR(INDEX(ativos!$E$2:$E$443,MATCH(preços!S$1&amp;preços!$A15,ativos!$A$2:$A$443,0),1),0)</f>
        <v>0</v>
      </c>
      <c r="T15" s="4">
        <f>IFERROR(INDEX(ativos!$E$2:$E$443,MATCH(preços!T$1&amp;preços!$A15,ativos!$A$2:$A$443,0),1),0)</f>
        <v>0</v>
      </c>
      <c r="U15" s="4">
        <f>IFERROR(INDEX(ativos!$E$2:$E$443,MATCH(preços!U$1&amp;preços!$A15,ativos!$A$2:$A$443,0),1),0)</f>
        <v>0</v>
      </c>
      <c r="V15" s="4">
        <f>IFERROR(INDEX(ativos!$E$2:$E$443,MATCH(preços!V$1&amp;preços!$A15,ativos!$A$2:$A$443,0),1),0)</f>
        <v>0</v>
      </c>
      <c r="W15" s="4">
        <f>IFERROR(INDEX(ativos!$E$2:$E$443,MATCH(preços!W$1&amp;preços!$A15,ativos!$A$2:$A$443,0),1),0)</f>
        <v>0</v>
      </c>
      <c r="X15" s="4">
        <f>IFERROR(INDEX(ativos!$E$2:$E$443,MATCH(preços!X$1&amp;preços!$A15,ativos!$A$2:$A$443,0),1),0)</f>
        <v>0</v>
      </c>
      <c r="Y15" s="4">
        <f>IFERROR(INDEX(ativos!$E$2:$E$443,MATCH(preços!Y$1&amp;preços!$A15,ativos!$A$2:$A$443,0),1),0)</f>
        <v>0</v>
      </c>
      <c r="Z15" s="4">
        <f>IFERROR(INDEX(ativos!$E$2:$E$443,MATCH(preços!Z$1&amp;preços!$A15,ativos!$A$2:$A$443,0),1),0)</f>
        <v>0</v>
      </c>
      <c r="AA15" s="4">
        <f>IFERROR(INDEX(ativos!$E$2:$E$443,MATCH(preços!AA$1&amp;preços!$A15,ativos!$A$2:$A$443,0),1),0)</f>
        <v>0</v>
      </c>
      <c r="AB15" s="4">
        <f>IFERROR(INDEX(ativos!$E$2:$E$443,MATCH(preços!AB$1&amp;preços!$A15,ativos!$A$2:$A$443,0),1),0)</f>
        <v>0</v>
      </c>
      <c r="AC15" s="4">
        <f>IFERROR(INDEX(ativos!$E$2:$E$443,MATCH(preços!AC$1&amp;preços!$A15,ativos!$A$2:$A$443,0),1),0)</f>
        <v>0</v>
      </c>
      <c r="AD15" s="4">
        <f>IFERROR(INDEX(ativos!$E$2:$E$443,MATCH(preços!AD$1&amp;preços!$A15,ativos!$A$2:$A$443,0),1),0)</f>
        <v>0</v>
      </c>
      <c r="AE15" s="4">
        <f>IFERROR(INDEX(ativos!$E$2:$E$443,MATCH(preços!AE$1&amp;preços!$A15,ativos!$A$2:$A$443,0),1),0)</f>
        <v>0</v>
      </c>
      <c r="AF15" s="4">
        <f>IFERROR(INDEX(ativos!$E$2:$E$443,MATCH(preços!AF$1&amp;preços!$A15,ativos!$A$2:$A$443,0),1),0)</f>
        <v>0</v>
      </c>
      <c r="AG15" s="4">
        <f>IFERROR(INDEX(ativos!$E$2:$E$443,MATCH(preços!AG$1&amp;preços!$A15,ativos!$A$2:$A$443,0),1),0)</f>
        <v>0</v>
      </c>
      <c r="AH15" s="4">
        <f>IFERROR(INDEX(ativos!$E$2:$E$443,MATCH(preços!AH$1&amp;preços!$A15,ativos!$A$2:$A$443,0),1),0)</f>
        <v>0</v>
      </c>
      <c r="AI15" s="4">
        <f>IFERROR(INDEX(ativos!$E$2:$E$443,MATCH(preços!AI$1&amp;preços!$A15,ativos!$A$2:$A$443,0),1),0)</f>
        <v>0</v>
      </c>
      <c r="AJ15" s="4">
        <f>IFERROR(INDEX(ativos!$E$2:$E$443,MATCH(preços!AJ$1&amp;preços!$A15,ativos!$A$2:$A$443,0),1),0)</f>
        <v>0</v>
      </c>
      <c r="AK15" s="4">
        <f>IFERROR(INDEX(ativos!$E$2:$E$443,MATCH(preços!AK$1&amp;preços!$A15,ativos!$A$2:$A$443,0),1),0)</f>
        <v>0</v>
      </c>
      <c r="AL15" s="4">
        <f>IFERROR(INDEX(ativos!$E$2:$E$443,MATCH(preços!AL$1&amp;preços!$A15,ativos!$A$2:$A$443,0),1),0)</f>
        <v>0</v>
      </c>
    </row>
    <row r="16" spans="1:38" x14ac:dyDescent="0.25">
      <c r="A16">
        <v>2011</v>
      </c>
      <c r="B16" s="4">
        <f>IFERROR(INDEX(ativos!$E$2:$E$443,MATCH(preços!B$1&amp;preços!$A16,ativos!$A$2:$A$443,0),1),0)</f>
        <v>26.08</v>
      </c>
      <c r="C16" s="4">
        <f>IFERROR(INDEX(ativos!$E$2:$E$443,MATCH(preços!C$1&amp;preços!$A16,ativos!$A$2:$A$443,0),1),0)</f>
        <v>2.35</v>
      </c>
      <c r="D16" s="4">
        <f>IFERROR(INDEX(ativos!$E$2:$E$443,MATCH(preços!D$1&amp;preços!$A16,ativos!$A$2:$A$443,0),1),0)</f>
        <v>5.82</v>
      </c>
      <c r="E16" s="4">
        <f>IFERROR(INDEX(ativos!$E$2:$E$443,MATCH(preços!E$1&amp;preços!$A16,ativos!$A$2:$A$443,0),1),0)</f>
        <v>7.79</v>
      </c>
      <c r="F16" s="4">
        <f>IFERROR(INDEX(ativos!$E$2:$E$443,MATCH(preços!F$1&amp;preços!$A16,ativos!$A$2:$A$443,0),1),0)</f>
        <v>2.56</v>
      </c>
      <c r="G16" s="4">
        <f>IFERROR(INDEX(ativos!$E$2:$E$443,MATCH(preços!G$1&amp;preços!$A16,ativos!$A$2:$A$443,0),1),0)</f>
        <v>7.22</v>
      </c>
      <c r="H16" s="4">
        <f>IFERROR(INDEX(ativos!$E$2:$E$443,MATCH(preços!H$1&amp;preços!$A16,ativos!$A$2:$A$443,0),1),0)</f>
        <v>8.9</v>
      </c>
      <c r="I16" s="4">
        <f>IFERROR(INDEX(ativos!$E$2:$E$443,MATCH(preços!I$1&amp;preços!$A16,ativos!$A$2:$A$443,0),1),0)</f>
        <v>11.86</v>
      </c>
      <c r="J16" s="4">
        <f>IFERROR(INDEX(ativos!$E$2:$E$443,MATCH(preços!J$1&amp;preços!$A16,ativos!$A$2:$A$443,0),1),0)</f>
        <v>5.44</v>
      </c>
      <c r="K16" s="4">
        <f>IFERROR(INDEX(ativos!$E$2:$E$443,MATCH(preços!K$1&amp;preços!$A16,ativos!$A$2:$A$443,0),1),0)</f>
        <v>16.16</v>
      </c>
      <c r="L16" s="4">
        <f>IFERROR(INDEX(ativos!$E$2:$E$443,MATCH(preços!L$1&amp;preços!$A16,ativos!$A$2:$A$443,0),1),0)</f>
        <v>11.52</v>
      </c>
      <c r="M16" s="4">
        <f>IFERROR(INDEX(ativos!$E$2:$E$443,MATCH(preços!M$1&amp;preços!$A16,ativos!$A$2:$A$443,0),1),0)</f>
        <v>181.8</v>
      </c>
      <c r="N16" s="4">
        <f>IFERROR(INDEX(ativos!$E$2:$E$443,MATCH(preços!N$1&amp;preços!$A16,ativos!$A$2:$A$443,0),1),0)</f>
        <v>8.9700000000000006</v>
      </c>
      <c r="O16" s="4">
        <f>IFERROR(INDEX(ativos!$E$2:$E$443,MATCH(preços!O$1&amp;preços!$A16,ativos!$A$2:$A$443,0),1),0)</f>
        <v>5.26</v>
      </c>
      <c r="P16" s="4">
        <f>IFERROR(INDEX(ativos!$E$2:$E$443,MATCH(preços!P$1&amp;preços!$A16,ativos!$A$2:$A$443,0),1),0)</f>
        <v>0</v>
      </c>
      <c r="Q16" s="4">
        <f>IFERROR(INDEX(ativos!$E$2:$E$443,MATCH(preços!Q$1&amp;preços!$A16,ativos!$A$2:$A$443,0),1),0)</f>
        <v>7.19</v>
      </c>
      <c r="R16" s="4">
        <f>IFERROR(INDEX(ativos!$E$2:$E$443,MATCH(preços!R$1&amp;preços!$A16,ativos!$A$2:$A$443,0),1),0)</f>
        <v>0</v>
      </c>
      <c r="S16" s="4">
        <f>IFERROR(INDEX(ativos!$E$2:$E$443,MATCH(preços!S$1&amp;preços!$A16,ativos!$A$2:$A$443,0),1),0)</f>
        <v>0</v>
      </c>
      <c r="T16" s="4">
        <f>IFERROR(INDEX(ativos!$E$2:$E$443,MATCH(preços!T$1&amp;preços!$A16,ativos!$A$2:$A$443,0),1),0)</f>
        <v>0</v>
      </c>
      <c r="U16" s="4">
        <f>IFERROR(INDEX(ativos!$E$2:$E$443,MATCH(preços!U$1&amp;preços!$A16,ativos!$A$2:$A$443,0),1),0)</f>
        <v>0</v>
      </c>
      <c r="V16" s="4">
        <f>IFERROR(INDEX(ativos!$E$2:$E$443,MATCH(preços!V$1&amp;preços!$A16,ativos!$A$2:$A$443,0),1),0)</f>
        <v>0</v>
      </c>
      <c r="W16" s="4">
        <f>IFERROR(INDEX(ativos!$E$2:$E$443,MATCH(preços!W$1&amp;preços!$A16,ativos!$A$2:$A$443,0),1),0)</f>
        <v>0</v>
      </c>
      <c r="X16" s="4">
        <f>IFERROR(INDEX(ativos!$E$2:$E$443,MATCH(preços!X$1&amp;preços!$A16,ativos!$A$2:$A$443,0),1),0)</f>
        <v>0</v>
      </c>
      <c r="Y16" s="4">
        <f>IFERROR(INDEX(ativos!$E$2:$E$443,MATCH(preços!Y$1&amp;preços!$A16,ativos!$A$2:$A$443,0),1),0)</f>
        <v>0</v>
      </c>
      <c r="Z16" s="4">
        <f>IFERROR(INDEX(ativos!$E$2:$E$443,MATCH(preços!Z$1&amp;preços!$A16,ativos!$A$2:$A$443,0),1),0)</f>
        <v>0</v>
      </c>
      <c r="AA16" s="4">
        <f>IFERROR(INDEX(ativos!$E$2:$E$443,MATCH(preços!AA$1&amp;preços!$A16,ativos!$A$2:$A$443,0),1),0)</f>
        <v>0</v>
      </c>
      <c r="AB16" s="4">
        <f>IFERROR(INDEX(ativos!$E$2:$E$443,MATCH(preços!AB$1&amp;preços!$A16,ativos!$A$2:$A$443,0),1),0)</f>
        <v>0</v>
      </c>
      <c r="AC16" s="4">
        <f>IFERROR(INDEX(ativos!$E$2:$E$443,MATCH(preços!AC$1&amp;preços!$A16,ativos!$A$2:$A$443,0),1),0)</f>
        <v>0</v>
      </c>
      <c r="AD16" s="4">
        <f>IFERROR(INDEX(ativos!$E$2:$E$443,MATCH(preços!AD$1&amp;preços!$A16,ativos!$A$2:$A$443,0),1),0)</f>
        <v>0</v>
      </c>
      <c r="AE16" s="4">
        <f>IFERROR(INDEX(ativos!$E$2:$E$443,MATCH(preços!AE$1&amp;preços!$A16,ativos!$A$2:$A$443,0),1),0)</f>
        <v>0</v>
      </c>
      <c r="AF16" s="4">
        <f>IFERROR(INDEX(ativos!$E$2:$E$443,MATCH(preços!AF$1&amp;preços!$A16,ativos!$A$2:$A$443,0),1),0)</f>
        <v>0</v>
      </c>
      <c r="AG16" s="4">
        <f>IFERROR(INDEX(ativos!$E$2:$E$443,MATCH(preços!AG$1&amp;preços!$A16,ativos!$A$2:$A$443,0),1),0)</f>
        <v>0</v>
      </c>
      <c r="AH16" s="4">
        <f>IFERROR(INDEX(ativos!$E$2:$E$443,MATCH(preços!AH$1&amp;preços!$A16,ativos!$A$2:$A$443,0),1),0)</f>
        <v>0</v>
      </c>
      <c r="AI16" s="4">
        <f>IFERROR(INDEX(ativos!$E$2:$E$443,MATCH(preços!AI$1&amp;preços!$A16,ativos!$A$2:$A$443,0),1),0)</f>
        <v>0</v>
      </c>
      <c r="AJ16" s="4">
        <f>IFERROR(INDEX(ativos!$E$2:$E$443,MATCH(preços!AJ$1&amp;preços!$A16,ativos!$A$2:$A$443,0),1),0)</f>
        <v>1.82</v>
      </c>
      <c r="AK16" s="4">
        <f>IFERROR(INDEX(ativos!$E$2:$E$443,MATCH(preços!AK$1&amp;preços!$A16,ativos!$A$2:$A$443,0),1),0)</f>
        <v>0</v>
      </c>
      <c r="AL16" s="4">
        <f>IFERROR(INDEX(ativos!$E$2:$E$443,MATCH(preços!AL$1&amp;preços!$A16,ativos!$A$2:$A$443,0),1),0)</f>
        <v>0</v>
      </c>
    </row>
    <row r="17" spans="1:38" x14ac:dyDescent="0.25">
      <c r="A17">
        <v>2012</v>
      </c>
      <c r="B17" s="4">
        <f>IFERROR(INDEX(ativos!$E$2:$E$443,MATCH(preços!B$1&amp;preços!$A17,ativos!$A$2:$A$443,0),1),0)</f>
        <v>24.36</v>
      </c>
      <c r="C17" s="4">
        <f>IFERROR(INDEX(ativos!$E$2:$E$443,MATCH(preços!C$1&amp;preços!$A17,ativos!$A$2:$A$443,0),1),0)</f>
        <v>2.37</v>
      </c>
      <c r="D17" s="4">
        <f>IFERROR(INDEX(ativos!$E$2:$E$443,MATCH(preços!D$1&amp;preços!$A17,ativos!$A$2:$A$443,0),1),0)</f>
        <v>7.35</v>
      </c>
      <c r="E17" s="4">
        <f>IFERROR(INDEX(ativos!$E$2:$E$443,MATCH(preços!E$1&amp;preços!$A17,ativos!$A$2:$A$443,0),1),0)</f>
        <v>8.52</v>
      </c>
      <c r="F17" s="4">
        <f>IFERROR(INDEX(ativos!$E$2:$E$443,MATCH(preços!F$1&amp;preços!$A17,ativos!$A$2:$A$443,0),1),0)</f>
        <v>2.54</v>
      </c>
      <c r="G17" s="4">
        <f>IFERROR(INDEX(ativos!$E$2:$E$443,MATCH(preços!G$1&amp;preços!$A17,ativos!$A$2:$A$443,0),1),0)</f>
        <v>6.07</v>
      </c>
      <c r="H17" s="4">
        <f>IFERROR(INDEX(ativos!$E$2:$E$443,MATCH(preços!H$1&amp;preços!$A17,ativos!$A$2:$A$443,0),1),0)</f>
        <v>8.2200000000000006</v>
      </c>
      <c r="I17" s="4">
        <f>IFERROR(INDEX(ativos!$E$2:$E$443,MATCH(preços!I$1&amp;preços!$A17,ativos!$A$2:$A$443,0),1),0)</f>
        <v>14.85</v>
      </c>
      <c r="J17" s="4">
        <f>IFERROR(INDEX(ativos!$E$2:$E$443,MATCH(preços!J$1&amp;preços!$A17,ativos!$A$2:$A$443,0),1),0)</f>
        <v>7.75</v>
      </c>
      <c r="K17" s="4">
        <f>IFERROR(INDEX(ativos!$E$2:$E$443,MATCH(preços!K$1&amp;preços!$A17,ativos!$A$2:$A$443,0),1),0)</f>
        <v>15.86</v>
      </c>
      <c r="L17" s="4">
        <f>IFERROR(INDEX(ativos!$E$2:$E$443,MATCH(preços!L$1&amp;preços!$A17,ativos!$A$2:$A$443,0),1),0)</f>
        <v>10.01</v>
      </c>
      <c r="M17" s="4">
        <f>IFERROR(INDEX(ativos!$E$2:$E$443,MATCH(preços!M$1&amp;preços!$A17,ativos!$A$2:$A$443,0),1),0)</f>
        <v>45.8</v>
      </c>
      <c r="N17" s="4">
        <f>IFERROR(INDEX(ativos!$E$2:$E$443,MATCH(preços!N$1&amp;preços!$A17,ativos!$A$2:$A$443,0),1),0)</f>
        <v>8.4700000000000006</v>
      </c>
      <c r="O17" s="4">
        <f>IFERROR(INDEX(ativos!$E$2:$E$443,MATCH(preços!O$1&amp;preços!$A17,ativos!$A$2:$A$443,0),1),0)</f>
        <v>6.98</v>
      </c>
      <c r="P17" s="4">
        <f>IFERROR(INDEX(ativos!$E$2:$E$443,MATCH(preços!P$1&amp;preços!$A17,ativos!$A$2:$A$443,0),1),0)</f>
        <v>0</v>
      </c>
      <c r="Q17" s="4">
        <f>IFERROR(INDEX(ativos!$E$2:$E$443,MATCH(preços!Q$1&amp;preços!$A17,ativos!$A$2:$A$443,0),1),0)</f>
        <v>7.95</v>
      </c>
      <c r="R17" s="4">
        <f>IFERROR(INDEX(ativos!$E$2:$E$443,MATCH(preços!R$1&amp;preços!$A17,ativos!$A$2:$A$443,0),1),0)</f>
        <v>0</v>
      </c>
      <c r="S17" s="4">
        <f>IFERROR(INDEX(ativos!$E$2:$E$443,MATCH(preços!S$1&amp;preços!$A17,ativos!$A$2:$A$443,0),1),0)</f>
        <v>23.15</v>
      </c>
      <c r="T17" s="4">
        <f>IFERROR(INDEX(ativos!$E$2:$E$443,MATCH(preços!T$1&amp;preços!$A17,ativos!$A$2:$A$443,0),1),0)</f>
        <v>0</v>
      </c>
      <c r="U17" s="4">
        <f>IFERROR(INDEX(ativos!$E$2:$E$443,MATCH(preços!U$1&amp;preços!$A17,ativos!$A$2:$A$443,0),1),0)</f>
        <v>0</v>
      </c>
      <c r="V17" s="4">
        <f>IFERROR(INDEX(ativos!$E$2:$E$443,MATCH(preços!V$1&amp;preços!$A17,ativos!$A$2:$A$443,0),1),0)</f>
        <v>1.75</v>
      </c>
      <c r="W17" s="4">
        <f>IFERROR(INDEX(ativos!$E$2:$E$443,MATCH(preços!W$1&amp;preços!$A17,ativos!$A$2:$A$443,0),1),0)</f>
        <v>0</v>
      </c>
      <c r="X17" s="4">
        <f>IFERROR(INDEX(ativos!$E$2:$E$443,MATCH(preços!X$1&amp;preços!$A17,ativos!$A$2:$A$443,0),1),0)</f>
        <v>0</v>
      </c>
      <c r="Y17" s="4">
        <f>IFERROR(INDEX(ativos!$E$2:$E$443,MATCH(preços!Y$1&amp;preços!$A17,ativos!$A$2:$A$443,0),1),0)</f>
        <v>0</v>
      </c>
      <c r="Z17" s="4">
        <f>IFERROR(INDEX(ativos!$E$2:$E$443,MATCH(preços!Z$1&amp;preços!$A17,ativos!$A$2:$A$443,0),1),0)</f>
        <v>0</v>
      </c>
      <c r="AA17" s="4">
        <f>IFERROR(INDEX(ativos!$E$2:$E$443,MATCH(preços!AA$1&amp;preços!$A17,ativos!$A$2:$A$443,0),1),0)</f>
        <v>4.08</v>
      </c>
      <c r="AB17" s="4">
        <f>IFERROR(INDEX(ativos!$E$2:$E$443,MATCH(preços!AB$1&amp;preços!$A17,ativos!$A$2:$A$443,0),1),0)</f>
        <v>0</v>
      </c>
      <c r="AC17" s="4">
        <f>IFERROR(INDEX(ativos!$E$2:$E$443,MATCH(preços!AC$1&amp;preços!$A17,ativos!$A$2:$A$443,0),1),0)</f>
        <v>0</v>
      </c>
      <c r="AD17" s="4">
        <f>IFERROR(INDEX(ativos!$E$2:$E$443,MATCH(preços!AD$1&amp;preços!$A17,ativos!$A$2:$A$443,0),1),0)</f>
        <v>0</v>
      </c>
      <c r="AE17" s="4">
        <f>IFERROR(INDEX(ativos!$E$2:$E$443,MATCH(preços!AE$1&amp;preços!$A17,ativos!$A$2:$A$443,0),1),0)</f>
        <v>6.99</v>
      </c>
      <c r="AF17" s="4">
        <f>IFERROR(INDEX(ativos!$E$2:$E$443,MATCH(preços!AF$1&amp;preços!$A17,ativos!$A$2:$A$443,0),1),0)</f>
        <v>0</v>
      </c>
      <c r="AG17" s="4">
        <f>IFERROR(INDEX(ativos!$E$2:$E$443,MATCH(preços!AG$1&amp;preços!$A17,ativos!$A$2:$A$443,0),1),0)</f>
        <v>0</v>
      </c>
      <c r="AH17" s="4">
        <f>IFERROR(INDEX(ativos!$E$2:$E$443,MATCH(preços!AH$1&amp;preços!$A17,ativos!$A$2:$A$443,0),1),0)</f>
        <v>0</v>
      </c>
      <c r="AI17" s="4">
        <f>IFERROR(INDEX(ativos!$E$2:$E$443,MATCH(preços!AI$1&amp;preços!$A17,ativos!$A$2:$A$443,0),1),0)</f>
        <v>0</v>
      </c>
      <c r="AJ17" s="4">
        <f>IFERROR(INDEX(ativos!$E$2:$E$443,MATCH(preços!AJ$1&amp;preços!$A17,ativos!$A$2:$A$443,0),1),0)</f>
        <v>2.41</v>
      </c>
      <c r="AK17" s="4">
        <f>IFERROR(INDEX(ativos!$E$2:$E$443,MATCH(preços!AK$1&amp;preços!$A17,ativos!$A$2:$A$443,0),1),0)</f>
        <v>0</v>
      </c>
      <c r="AL17" s="4">
        <f>IFERROR(INDEX(ativos!$E$2:$E$443,MATCH(preços!AL$1&amp;preços!$A17,ativos!$A$2:$A$443,0),1),0)</f>
        <v>0</v>
      </c>
    </row>
    <row r="18" spans="1:38" x14ac:dyDescent="0.25">
      <c r="A18">
        <v>2013</v>
      </c>
      <c r="B18" s="4">
        <f>IFERROR(INDEX(ativos!$E$2:$E$443,MATCH(preços!B$1&amp;preços!$A18,ativos!$A$2:$A$443,0),1),0)</f>
        <v>16.739999999999998</v>
      </c>
      <c r="C18" s="4">
        <f>IFERROR(INDEX(ativos!$E$2:$E$443,MATCH(preços!C$1&amp;preços!$A18,ativos!$A$2:$A$443,0),1),0)</f>
        <v>3.16</v>
      </c>
      <c r="D18" s="4">
        <f>IFERROR(INDEX(ativos!$E$2:$E$443,MATCH(preços!D$1&amp;preços!$A18,ativos!$A$2:$A$443,0),1),0)</f>
        <v>10.25</v>
      </c>
      <c r="E18" s="4">
        <f>IFERROR(INDEX(ativos!$E$2:$E$443,MATCH(preços!E$1&amp;preços!$A18,ativos!$A$2:$A$443,0),1),0)</f>
        <v>9.74</v>
      </c>
      <c r="F18" s="4">
        <f>IFERROR(INDEX(ativos!$E$2:$E$443,MATCH(preços!F$1&amp;preços!$A18,ativos!$A$2:$A$443,0),1),0)</f>
        <v>3.37</v>
      </c>
      <c r="G18" s="4">
        <f>IFERROR(INDEX(ativos!$E$2:$E$443,MATCH(preços!G$1&amp;preços!$A18,ativos!$A$2:$A$443,0),1),0)</f>
        <v>7.31</v>
      </c>
      <c r="H18" s="4">
        <f>IFERROR(INDEX(ativos!$E$2:$E$443,MATCH(preços!H$1&amp;preços!$A18,ativos!$A$2:$A$443,0),1),0)</f>
        <v>8.08</v>
      </c>
      <c r="I18" s="4">
        <f>IFERROR(INDEX(ativos!$E$2:$E$443,MATCH(preços!I$1&amp;preços!$A18,ativos!$A$2:$A$443,0),1),0)</f>
        <v>18.510000000000002</v>
      </c>
      <c r="J18" s="4">
        <f>IFERROR(INDEX(ativos!$E$2:$E$443,MATCH(preços!J$1&amp;preços!$A18,ativos!$A$2:$A$443,0),1),0)</f>
        <v>13.96</v>
      </c>
      <c r="K18" s="4">
        <f>IFERROR(INDEX(ativos!$E$2:$E$443,MATCH(preços!K$1&amp;preços!$A18,ativos!$A$2:$A$443,0),1),0)</f>
        <v>15.23</v>
      </c>
      <c r="L18" s="4">
        <f>IFERROR(INDEX(ativos!$E$2:$E$443,MATCH(preços!L$1&amp;preços!$A18,ativos!$A$2:$A$443,0),1),0)</f>
        <v>11.37</v>
      </c>
      <c r="M18" s="4">
        <f>IFERROR(INDEX(ativos!$E$2:$E$443,MATCH(preços!M$1&amp;preços!$A18,ativos!$A$2:$A$443,0),1),0)</f>
        <v>18.75</v>
      </c>
      <c r="N18" s="4">
        <f>IFERROR(INDEX(ativos!$E$2:$E$443,MATCH(preços!N$1&amp;preços!$A18,ativos!$A$2:$A$443,0),1),0)</f>
        <v>12.46</v>
      </c>
      <c r="O18" s="4">
        <f>IFERROR(INDEX(ativos!$E$2:$E$443,MATCH(preços!O$1&amp;preços!$A18,ativos!$A$2:$A$443,0),1),0)</f>
        <v>7.74</v>
      </c>
      <c r="P18" s="4">
        <f>IFERROR(INDEX(ativos!$E$2:$E$443,MATCH(preços!P$1&amp;preços!$A18,ativos!$A$2:$A$443,0),1),0)</f>
        <v>0</v>
      </c>
      <c r="Q18" s="4">
        <f>IFERROR(INDEX(ativos!$E$2:$E$443,MATCH(preços!Q$1&amp;preços!$A18,ativos!$A$2:$A$443,0),1),0)</f>
        <v>11.18</v>
      </c>
      <c r="R18" s="4">
        <f>IFERROR(INDEX(ativos!$E$2:$E$443,MATCH(preços!R$1&amp;preços!$A18,ativos!$A$2:$A$443,0),1),0)</f>
        <v>0</v>
      </c>
      <c r="S18" s="4">
        <f>IFERROR(INDEX(ativos!$E$2:$E$443,MATCH(preços!S$1&amp;preços!$A18,ativos!$A$2:$A$443,0),1),0)</f>
        <v>30.05</v>
      </c>
      <c r="T18" s="4">
        <f>IFERROR(INDEX(ativos!$E$2:$E$443,MATCH(preços!T$1&amp;preços!$A18,ativos!$A$2:$A$443,0),1),0)</f>
        <v>0</v>
      </c>
      <c r="U18" s="4">
        <f>IFERROR(INDEX(ativos!$E$2:$E$443,MATCH(preços!U$1&amp;preços!$A18,ativos!$A$2:$A$443,0),1),0)</f>
        <v>0</v>
      </c>
      <c r="V18" s="4">
        <f>IFERROR(INDEX(ativos!$E$2:$E$443,MATCH(preços!V$1&amp;preços!$A18,ativos!$A$2:$A$443,0),1),0)</f>
        <v>1.92</v>
      </c>
      <c r="W18" s="4">
        <f>IFERROR(INDEX(ativos!$E$2:$E$443,MATCH(preços!W$1&amp;preços!$A18,ativos!$A$2:$A$443,0),1),0)</f>
        <v>0</v>
      </c>
      <c r="X18" s="4">
        <f>IFERROR(INDEX(ativos!$E$2:$E$443,MATCH(preços!X$1&amp;preços!$A18,ativos!$A$2:$A$443,0),1),0)</f>
        <v>3.45</v>
      </c>
      <c r="Y18" s="4">
        <f>IFERROR(INDEX(ativos!$E$2:$E$443,MATCH(preços!Y$1&amp;preços!$A18,ativos!$A$2:$A$443,0),1),0)</f>
        <v>0</v>
      </c>
      <c r="Z18" s="4">
        <f>IFERROR(INDEX(ativos!$E$2:$E$443,MATCH(preços!Z$1&amp;preços!$A18,ativos!$A$2:$A$443,0),1),0)</f>
        <v>7.52</v>
      </c>
      <c r="AA18" s="4">
        <f>IFERROR(INDEX(ativos!$E$2:$E$443,MATCH(preços!AA$1&amp;preços!$A18,ativos!$A$2:$A$443,0),1),0)</f>
        <v>6.69</v>
      </c>
      <c r="AB18" s="4">
        <f>IFERROR(INDEX(ativos!$E$2:$E$443,MATCH(preços!AB$1&amp;preços!$A18,ativos!$A$2:$A$443,0),1),0)</f>
        <v>0</v>
      </c>
      <c r="AC18" s="4">
        <f>IFERROR(INDEX(ativos!$E$2:$E$443,MATCH(preços!AC$1&amp;preços!$A18,ativos!$A$2:$A$443,0),1),0)</f>
        <v>4.8099999999999996</v>
      </c>
      <c r="AD18" s="4">
        <f>IFERROR(INDEX(ativos!$E$2:$E$443,MATCH(preços!AD$1&amp;preços!$A18,ativos!$A$2:$A$443,0),1),0)</f>
        <v>0</v>
      </c>
      <c r="AE18" s="4">
        <f>IFERROR(INDEX(ativos!$E$2:$E$443,MATCH(preços!AE$1&amp;preços!$A18,ativos!$A$2:$A$443,0),1),0)</f>
        <v>0</v>
      </c>
      <c r="AF18" s="4">
        <f>IFERROR(INDEX(ativos!$E$2:$E$443,MATCH(preços!AF$1&amp;preços!$A18,ativos!$A$2:$A$443,0),1),0)</f>
        <v>4.0599999999999996</v>
      </c>
      <c r="AG18" s="4">
        <f>IFERROR(INDEX(ativos!$E$2:$E$443,MATCH(preços!AG$1&amp;preços!$A18,ativos!$A$2:$A$443,0),1),0)</f>
        <v>0</v>
      </c>
      <c r="AH18" s="4">
        <f>IFERROR(INDEX(ativos!$E$2:$E$443,MATCH(preços!AH$1&amp;preços!$A18,ativos!$A$2:$A$443,0),1),0)</f>
        <v>0</v>
      </c>
      <c r="AI18" s="4">
        <f>IFERROR(INDEX(ativos!$E$2:$E$443,MATCH(preços!AI$1&amp;preços!$A18,ativos!$A$2:$A$443,0),1),0)</f>
        <v>0</v>
      </c>
      <c r="AJ18" s="4">
        <f>IFERROR(INDEX(ativos!$E$2:$E$443,MATCH(preços!AJ$1&amp;preços!$A18,ativos!$A$2:$A$443,0),1),0)</f>
        <v>2.83</v>
      </c>
      <c r="AK18" s="4">
        <f>IFERROR(INDEX(ativos!$E$2:$E$443,MATCH(preços!AK$1&amp;preços!$A18,ativos!$A$2:$A$443,0),1),0)</f>
        <v>0</v>
      </c>
      <c r="AL18" s="4">
        <f>IFERROR(INDEX(ativos!$E$2:$E$443,MATCH(preços!AL$1&amp;preços!$A18,ativos!$A$2:$A$443,0),1),0)</f>
        <v>0</v>
      </c>
    </row>
    <row r="19" spans="1:38" x14ac:dyDescent="0.25">
      <c r="A19">
        <v>2014</v>
      </c>
      <c r="B19" s="4">
        <f>IFERROR(INDEX(ativos!$E$2:$E$443,MATCH(preços!B$1&amp;preços!$A19,ativos!$A$2:$A$443,0),1),0)</f>
        <v>12.84</v>
      </c>
      <c r="C19" s="4">
        <f>IFERROR(INDEX(ativos!$E$2:$E$443,MATCH(preços!C$1&amp;preços!$A19,ativos!$A$2:$A$443,0),1),0)</f>
        <v>3.51</v>
      </c>
      <c r="D19" s="4">
        <f>IFERROR(INDEX(ativos!$E$2:$E$443,MATCH(preços!D$1&amp;preços!$A19,ativos!$A$2:$A$443,0),1),0)</f>
        <v>7.33</v>
      </c>
      <c r="E19" s="4">
        <f>IFERROR(INDEX(ativos!$E$2:$E$443,MATCH(preços!E$1&amp;preços!$A19,ativos!$A$2:$A$443,0),1),0)</f>
        <v>9.1199999999999992</v>
      </c>
      <c r="F19" s="4">
        <f>IFERROR(INDEX(ativos!$E$2:$E$443,MATCH(preços!F$1&amp;preços!$A19,ativos!$A$2:$A$443,0),1),0)</f>
        <v>2.42</v>
      </c>
      <c r="G19" s="4">
        <f>IFERROR(INDEX(ativos!$E$2:$E$443,MATCH(preços!G$1&amp;preços!$A19,ativos!$A$2:$A$443,0),1),0)</f>
        <v>8.9600000000000009</v>
      </c>
      <c r="H19" s="4">
        <f>IFERROR(INDEX(ativos!$E$2:$E$443,MATCH(preços!H$1&amp;preços!$A19,ativos!$A$2:$A$443,0),1),0)</f>
        <v>6.89</v>
      </c>
      <c r="I19" s="4">
        <f>IFERROR(INDEX(ativos!$E$2:$E$443,MATCH(preços!I$1&amp;preços!$A19,ativos!$A$2:$A$443,0),1),0)</f>
        <v>19.34</v>
      </c>
      <c r="J19" s="4">
        <f>IFERROR(INDEX(ativos!$E$2:$E$443,MATCH(preços!J$1&amp;preços!$A19,ativos!$A$2:$A$443,0),1),0)</f>
        <v>12.86</v>
      </c>
      <c r="K19" s="4">
        <f>IFERROR(INDEX(ativos!$E$2:$E$443,MATCH(preços!K$1&amp;preços!$A19,ativos!$A$2:$A$443,0),1),0)</f>
        <v>14.35</v>
      </c>
      <c r="L19" s="4">
        <f>IFERROR(INDEX(ativos!$E$2:$E$443,MATCH(preços!L$1&amp;preços!$A19,ativos!$A$2:$A$443,0),1),0)</f>
        <v>10.68</v>
      </c>
      <c r="M19" s="4">
        <f>IFERROR(INDEX(ativos!$E$2:$E$443,MATCH(preços!M$1&amp;preços!$A19,ativos!$A$2:$A$443,0),1),0)</f>
        <v>5.8</v>
      </c>
      <c r="N19" s="4">
        <f>IFERROR(INDEX(ativos!$E$2:$E$443,MATCH(preços!N$1&amp;preços!$A19,ativos!$A$2:$A$443,0),1),0)</f>
        <v>9.27</v>
      </c>
      <c r="O19" s="4">
        <f>IFERROR(INDEX(ativos!$E$2:$E$443,MATCH(preços!O$1&amp;preços!$A19,ativos!$A$2:$A$443,0),1),0)</f>
        <v>7.12</v>
      </c>
      <c r="P19" s="4">
        <f>IFERROR(INDEX(ativos!$E$2:$E$443,MATCH(preços!P$1&amp;preços!$A19,ativos!$A$2:$A$443,0),1),0)</f>
        <v>0</v>
      </c>
      <c r="Q19" s="4">
        <f>IFERROR(INDEX(ativos!$E$2:$E$443,MATCH(preços!Q$1&amp;preços!$A19,ativos!$A$2:$A$443,0),1),0)</f>
        <v>10.23</v>
      </c>
      <c r="R19" s="4">
        <f>IFERROR(INDEX(ativos!$E$2:$E$443,MATCH(preços!R$1&amp;preços!$A19,ativos!$A$2:$A$443,0),1),0)</f>
        <v>0</v>
      </c>
      <c r="S19" s="4">
        <f>IFERROR(INDEX(ativos!$E$2:$E$443,MATCH(preços!S$1&amp;preços!$A19,ativos!$A$2:$A$443,0),1),0)</f>
        <v>21.19</v>
      </c>
      <c r="T19" s="4">
        <f>IFERROR(INDEX(ativos!$E$2:$E$443,MATCH(preços!T$1&amp;preços!$A19,ativos!$A$2:$A$443,0),1),0)</f>
        <v>0</v>
      </c>
      <c r="U19" s="4">
        <f>IFERROR(INDEX(ativos!$E$2:$E$443,MATCH(preços!U$1&amp;preços!$A19,ativos!$A$2:$A$443,0),1),0)</f>
        <v>0</v>
      </c>
      <c r="V19" s="4">
        <f>IFERROR(INDEX(ativos!$E$2:$E$443,MATCH(preços!V$1&amp;preços!$A19,ativos!$A$2:$A$443,0),1),0)</f>
        <v>3.24</v>
      </c>
      <c r="W19" s="4">
        <f>IFERROR(INDEX(ativos!$E$2:$E$443,MATCH(preços!W$1&amp;preços!$A19,ativos!$A$2:$A$443,0),1),0)</f>
        <v>0</v>
      </c>
      <c r="X19" s="4">
        <f>IFERROR(INDEX(ativos!$E$2:$E$443,MATCH(preços!X$1&amp;preços!$A19,ativos!$A$2:$A$443,0),1),0)</f>
        <v>5.73</v>
      </c>
      <c r="Y19" s="4">
        <f>IFERROR(INDEX(ativos!$E$2:$E$443,MATCH(preços!Y$1&amp;preços!$A19,ativos!$A$2:$A$443,0),1),0)</f>
        <v>0</v>
      </c>
      <c r="Z19" s="4">
        <f>IFERROR(INDEX(ativos!$E$2:$E$443,MATCH(preços!Z$1&amp;preços!$A19,ativos!$A$2:$A$443,0),1),0)</f>
        <v>11.12</v>
      </c>
      <c r="AA19" s="4">
        <f>IFERROR(INDEX(ativos!$E$2:$E$443,MATCH(preços!AA$1&amp;preços!$A19,ativos!$A$2:$A$443,0),1),0)</f>
        <v>10.81</v>
      </c>
      <c r="AB19" s="4">
        <f>IFERROR(INDEX(ativos!$E$2:$E$443,MATCH(preços!AB$1&amp;preços!$A19,ativos!$A$2:$A$443,0),1),0)</f>
        <v>0</v>
      </c>
      <c r="AC19" s="4">
        <f>IFERROR(INDEX(ativos!$E$2:$E$443,MATCH(preços!AC$1&amp;preços!$A19,ativos!$A$2:$A$443,0),1),0)</f>
        <v>8.1199999999999992</v>
      </c>
      <c r="AD19" s="4">
        <f>IFERROR(INDEX(ativos!$E$2:$E$443,MATCH(preços!AD$1&amp;preços!$A19,ativos!$A$2:$A$443,0),1),0)</f>
        <v>2.8</v>
      </c>
      <c r="AE19" s="4">
        <f>IFERROR(INDEX(ativos!$E$2:$E$443,MATCH(preços!AE$1&amp;preços!$A19,ativos!$A$2:$A$443,0),1),0)</f>
        <v>9.25</v>
      </c>
      <c r="AF19" s="4">
        <f>IFERROR(INDEX(ativos!$E$2:$E$443,MATCH(preços!AF$1&amp;preços!$A19,ativos!$A$2:$A$443,0),1),0)</f>
        <v>5.64</v>
      </c>
      <c r="AG19" s="4">
        <f>IFERROR(INDEX(ativos!$E$2:$E$443,MATCH(preços!AG$1&amp;preços!$A19,ativos!$A$2:$A$443,0),1),0)</f>
        <v>0</v>
      </c>
      <c r="AH19" s="4">
        <f>IFERROR(INDEX(ativos!$E$2:$E$443,MATCH(preços!AH$1&amp;preços!$A19,ativos!$A$2:$A$443,0),1),0)</f>
        <v>0</v>
      </c>
      <c r="AI19" s="4">
        <f>IFERROR(INDEX(ativos!$E$2:$E$443,MATCH(preços!AI$1&amp;preços!$A19,ativos!$A$2:$A$443,0),1),0)</f>
        <v>0</v>
      </c>
      <c r="AJ19" s="4">
        <f>IFERROR(INDEX(ativos!$E$2:$E$443,MATCH(preços!AJ$1&amp;preços!$A19,ativos!$A$2:$A$443,0),1),0)</f>
        <v>3.86</v>
      </c>
      <c r="AK19" s="4">
        <f>IFERROR(INDEX(ativos!$E$2:$E$443,MATCH(preços!AK$1&amp;preços!$A19,ativos!$A$2:$A$443,0),1),0)</f>
        <v>0</v>
      </c>
      <c r="AL19" s="4">
        <f>IFERROR(INDEX(ativos!$E$2:$E$443,MATCH(preços!AL$1&amp;preços!$A19,ativos!$A$2:$A$443,0),1),0)</f>
        <v>0</v>
      </c>
    </row>
    <row r="20" spans="1:38" x14ac:dyDescent="0.25">
      <c r="A20">
        <v>2015</v>
      </c>
      <c r="B20" s="4">
        <f>IFERROR(INDEX(ativos!$E$2:$E$443,MATCH(preços!B$1&amp;preços!$A20,ativos!$A$2:$A$443,0),1),0)</f>
        <v>7.75</v>
      </c>
      <c r="C20" s="4">
        <f>IFERROR(INDEX(ativos!$E$2:$E$443,MATCH(preços!C$1&amp;preços!$A20,ativos!$A$2:$A$443,0),1),0)</f>
        <v>5.46</v>
      </c>
      <c r="D20" s="4">
        <f>IFERROR(INDEX(ativos!$E$2:$E$443,MATCH(preços!D$1&amp;preços!$A20,ativos!$A$2:$A$443,0),1),0)</f>
        <v>9.52</v>
      </c>
      <c r="E20" s="4">
        <f>IFERROR(INDEX(ativos!$E$2:$E$443,MATCH(preços!E$1&amp;preços!$A20,ativos!$A$2:$A$443,0),1),0)</f>
        <v>11.32</v>
      </c>
      <c r="F20" s="4">
        <f>IFERROR(INDEX(ativos!$E$2:$E$443,MATCH(preços!F$1&amp;preços!$A20,ativos!$A$2:$A$443,0),1),0)</f>
        <v>2.38</v>
      </c>
      <c r="G20" s="4">
        <f>IFERROR(INDEX(ativos!$E$2:$E$443,MATCH(preços!G$1&amp;preços!$A20,ativos!$A$2:$A$443,0),1),0)</f>
        <v>9.43</v>
      </c>
      <c r="H20" s="4">
        <f>IFERROR(INDEX(ativos!$E$2:$E$443,MATCH(preços!H$1&amp;preços!$A20,ativos!$A$2:$A$443,0),1),0)</f>
        <v>5.62</v>
      </c>
      <c r="I20" s="4">
        <f>IFERROR(INDEX(ativos!$E$2:$E$443,MATCH(preços!I$1&amp;preços!$A20,ativos!$A$2:$A$443,0),1),0)</f>
        <v>18.3</v>
      </c>
      <c r="J20" s="4">
        <f>IFERROR(INDEX(ativos!$E$2:$E$443,MATCH(preços!J$1&amp;preços!$A20,ativos!$A$2:$A$443,0),1),0)</f>
        <v>14.74</v>
      </c>
      <c r="K20" s="4">
        <f>IFERROR(INDEX(ativos!$E$2:$E$443,MATCH(preços!K$1&amp;preços!$A20,ativos!$A$2:$A$443,0),1),0)</f>
        <v>15.18</v>
      </c>
      <c r="L20" s="4">
        <f>IFERROR(INDEX(ativos!$E$2:$E$443,MATCH(preços!L$1&amp;preços!$A20,ativos!$A$2:$A$443,0),1),0)</f>
        <v>5.68</v>
      </c>
      <c r="M20" s="4">
        <f>IFERROR(INDEX(ativos!$E$2:$E$443,MATCH(preços!M$1&amp;preços!$A20,ativos!$A$2:$A$443,0),1),0)</f>
        <v>1.95</v>
      </c>
      <c r="N20" s="4">
        <f>IFERROR(INDEX(ativos!$E$2:$E$443,MATCH(preços!N$1&amp;preços!$A20,ativos!$A$2:$A$443,0),1),0)</f>
        <v>10.11</v>
      </c>
      <c r="O20" s="4">
        <f>IFERROR(INDEX(ativos!$E$2:$E$443,MATCH(preços!O$1&amp;preços!$A20,ativos!$A$2:$A$443,0),1),0)</f>
        <v>8.5500000000000007</v>
      </c>
      <c r="P20" s="4">
        <f>IFERROR(INDEX(ativos!$E$2:$E$443,MATCH(preços!P$1&amp;preços!$A20,ativos!$A$2:$A$443,0),1),0)</f>
        <v>0</v>
      </c>
      <c r="Q20" s="4">
        <f>IFERROR(INDEX(ativos!$E$2:$E$443,MATCH(preços!Q$1&amp;preços!$A20,ativos!$A$2:$A$443,0),1),0)</f>
        <v>12.38</v>
      </c>
      <c r="R20" s="4">
        <f>IFERROR(INDEX(ativos!$E$2:$E$443,MATCH(preços!R$1&amp;preços!$A20,ativos!$A$2:$A$443,0),1),0)</f>
        <v>0</v>
      </c>
      <c r="S20" s="4">
        <f>IFERROR(INDEX(ativos!$E$2:$E$443,MATCH(preços!S$1&amp;preços!$A20,ativos!$A$2:$A$443,0),1),0)</f>
        <v>19.559999999999999</v>
      </c>
      <c r="T20" s="4">
        <f>IFERROR(INDEX(ativos!$E$2:$E$443,MATCH(preços!T$1&amp;preços!$A20,ativos!$A$2:$A$443,0),1),0)</f>
        <v>0</v>
      </c>
      <c r="U20" s="4">
        <f>IFERROR(INDEX(ativos!$E$2:$E$443,MATCH(preços!U$1&amp;preços!$A20,ativos!$A$2:$A$443,0),1),0)</f>
        <v>0</v>
      </c>
      <c r="V20" s="4">
        <f>IFERROR(INDEX(ativos!$E$2:$E$443,MATCH(preços!V$1&amp;preços!$A20,ativos!$A$2:$A$443,0),1),0)</f>
        <v>4.1100000000000003</v>
      </c>
      <c r="W20" s="4">
        <f>IFERROR(INDEX(ativos!$E$2:$E$443,MATCH(preços!W$1&amp;preços!$A20,ativos!$A$2:$A$443,0),1),0)</f>
        <v>0</v>
      </c>
      <c r="X20" s="4">
        <f>IFERROR(INDEX(ativos!$E$2:$E$443,MATCH(preços!X$1&amp;preços!$A20,ativos!$A$2:$A$443,0),1),0)</f>
        <v>6.11</v>
      </c>
      <c r="Y20" s="4">
        <f>IFERROR(INDEX(ativos!$E$2:$E$443,MATCH(preços!Y$1&amp;preços!$A20,ativos!$A$2:$A$443,0),1),0)</f>
        <v>0</v>
      </c>
      <c r="Z20" s="4">
        <f>IFERROR(INDEX(ativos!$E$2:$E$443,MATCH(preços!Z$1&amp;preços!$A20,ativos!$A$2:$A$443,0),1),0)</f>
        <v>12.66</v>
      </c>
      <c r="AA20" s="4">
        <f>IFERROR(INDEX(ativos!$E$2:$E$443,MATCH(preços!AA$1&amp;preços!$A20,ativos!$A$2:$A$443,0),1),0)</f>
        <v>15.59</v>
      </c>
      <c r="AB20" s="4">
        <f>IFERROR(INDEX(ativos!$E$2:$E$443,MATCH(preços!AB$1&amp;preços!$A20,ativos!$A$2:$A$443,0),1),0)</f>
        <v>0</v>
      </c>
      <c r="AC20" s="4">
        <f>IFERROR(INDEX(ativos!$E$2:$E$443,MATCH(preços!AC$1&amp;preços!$A20,ativos!$A$2:$A$443,0),1),0)</f>
        <v>11.88</v>
      </c>
      <c r="AD20" s="4">
        <f>IFERROR(INDEX(ativos!$E$2:$E$443,MATCH(preços!AD$1&amp;preços!$A20,ativos!$A$2:$A$443,0),1),0)</f>
        <v>3.23</v>
      </c>
      <c r="AE20" s="4">
        <f>IFERROR(INDEX(ativos!$E$2:$E$443,MATCH(preços!AE$1&amp;preços!$A20,ativos!$A$2:$A$443,0),1),0)</f>
        <v>9.86</v>
      </c>
      <c r="AF20" s="4">
        <f>IFERROR(INDEX(ativos!$E$2:$E$443,MATCH(preços!AF$1&amp;preços!$A20,ativos!$A$2:$A$443,0),1),0)</f>
        <v>8.92</v>
      </c>
      <c r="AG20" s="4">
        <f>IFERROR(INDEX(ativos!$E$2:$E$443,MATCH(preços!AG$1&amp;preços!$A20,ativos!$A$2:$A$443,0),1),0)</f>
        <v>0</v>
      </c>
      <c r="AH20" s="4">
        <f>IFERROR(INDEX(ativos!$E$2:$E$443,MATCH(preços!AH$1&amp;preços!$A20,ativos!$A$2:$A$443,0),1),0)</f>
        <v>0</v>
      </c>
      <c r="AI20" s="4">
        <f>IFERROR(INDEX(ativos!$E$2:$E$443,MATCH(preços!AI$1&amp;preços!$A20,ativos!$A$2:$A$443,0),1),0)</f>
        <v>0</v>
      </c>
      <c r="AJ20" s="4">
        <f>IFERROR(INDEX(ativos!$E$2:$E$443,MATCH(preços!AJ$1&amp;preços!$A20,ativos!$A$2:$A$443,0),1),0)</f>
        <v>7.37</v>
      </c>
      <c r="AK20" s="4">
        <f>IFERROR(INDEX(ativos!$E$2:$E$443,MATCH(preços!AK$1&amp;preços!$A20,ativos!$A$2:$A$443,0),1),0)</f>
        <v>0</v>
      </c>
      <c r="AL20" s="4">
        <f>IFERROR(INDEX(ativos!$E$2:$E$443,MATCH(preços!AL$1&amp;preços!$A20,ativos!$A$2:$A$443,0),1),0)</f>
        <v>0</v>
      </c>
    </row>
    <row r="21" spans="1:38" x14ac:dyDescent="0.25">
      <c r="A21">
        <v>2016</v>
      </c>
      <c r="B21" s="4">
        <f>IFERROR(INDEX(ativos!$E$2:$E$443,MATCH(preços!B$1&amp;preços!$A21,ativos!$A$2:$A$443,0),1),0)</f>
        <v>6.68</v>
      </c>
      <c r="C21" s="4">
        <f>IFERROR(INDEX(ativos!$E$2:$E$443,MATCH(preços!C$1&amp;preços!$A21,ativos!$A$2:$A$443,0),1),0)</f>
        <v>5.4</v>
      </c>
      <c r="D21" s="4">
        <f>IFERROR(INDEX(ativos!$E$2:$E$443,MATCH(preços!D$1&amp;preços!$A21,ativos!$A$2:$A$443,0),1),0)</f>
        <v>12.34</v>
      </c>
      <c r="E21" s="4">
        <f>IFERROR(INDEX(ativos!$E$2:$E$443,MATCH(preços!E$1&amp;preços!$A21,ativos!$A$2:$A$443,0),1),0)</f>
        <v>9.8800000000000008</v>
      </c>
      <c r="F21" s="4">
        <f>IFERROR(INDEX(ativos!$E$2:$E$443,MATCH(preços!F$1&amp;preços!$A21,ativos!$A$2:$A$443,0),1),0)</f>
        <v>2.88</v>
      </c>
      <c r="G21" s="4">
        <f>IFERROR(INDEX(ativos!$E$2:$E$443,MATCH(preços!G$1&amp;preços!$A21,ativos!$A$2:$A$443,0),1),0)</f>
        <v>9.6</v>
      </c>
      <c r="H21" s="4">
        <f>IFERROR(INDEX(ativos!$E$2:$E$443,MATCH(preços!H$1&amp;preços!$A21,ativos!$A$2:$A$443,0),1),0)</f>
        <v>5.96</v>
      </c>
      <c r="I21" s="4">
        <f>IFERROR(INDEX(ativos!$E$2:$E$443,MATCH(preços!I$1&amp;preços!$A21,ativos!$A$2:$A$443,0),1),0)</f>
        <v>20.58</v>
      </c>
      <c r="J21" s="4">
        <f>IFERROR(INDEX(ativos!$E$2:$E$443,MATCH(preços!J$1&amp;preços!$A21,ativos!$A$2:$A$443,0),1),0)</f>
        <v>16.02</v>
      </c>
      <c r="K21" s="4">
        <f>IFERROR(INDEX(ativos!$E$2:$E$443,MATCH(preços!K$1&amp;preços!$A21,ativos!$A$2:$A$443,0),1),0)</f>
        <v>11.24</v>
      </c>
      <c r="L21" s="4">
        <f>IFERROR(INDEX(ativos!$E$2:$E$443,MATCH(preços!L$1&amp;preços!$A21,ativos!$A$2:$A$443,0),1),0)</f>
        <v>2.08</v>
      </c>
      <c r="M21" s="4">
        <f>IFERROR(INDEX(ativos!$E$2:$E$443,MATCH(preços!M$1&amp;preços!$A21,ativos!$A$2:$A$443,0),1),0)</f>
        <v>0.73</v>
      </c>
      <c r="N21" s="4">
        <f>IFERROR(INDEX(ativos!$E$2:$E$443,MATCH(preços!N$1&amp;preços!$A21,ativos!$A$2:$A$443,0),1),0)</f>
        <v>10.09</v>
      </c>
      <c r="O21" s="4">
        <f>IFERROR(INDEX(ativos!$E$2:$E$443,MATCH(preços!O$1&amp;preços!$A21,ativos!$A$2:$A$443,0),1),0)</f>
        <v>8.7100000000000009</v>
      </c>
      <c r="P21" s="4">
        <f>IFERROR(INDEX(ativos!$E$2:$E$443,MATCH(preços!P$1&amp;preços!$A21,ativos!$A$2:$A$443,0),1),0)</f>
        <v>0</v>
      </c>
      <c r="Q21" s="4">
        <f>IFERROR(INDEX(ativos!$E$2:$E$443,MATCH(preços!Q$1&amp;preços!$A21,ativos!$A$2:$A$443,0),1),0)</f>
        <v>9.15</v>
      </c>
      <c r="R21" s="4">
        <f>IFERROR(INDEX(ativos!$E$2:$E$443,MATCH(preços!R$1&amp;preços!$A21,ativos!$A$2:$A$443,0),1),0)</f>
        <v>0</v>
      </c>
      <c r="S21" s="4">
        <f>IFERROR(INDEX(ativos!$E$2:$E$443,MATCH(preços!S$1&amp;preços!$A21,ativos!$A$2:$A$443,0),1),0)</f>
        <v>16.350000000000001</v>
      </c>
      <c r="T21" s="4">
        <f>IFERROR(INDEX(ativos!$E$2:$E$443,MATCH(preços!T$1&amp;preços!$A21,ativos!$A$2:$A$443,0),1),0)</f>
        <v>0</v>
      </c>
      <c r="U21" s="4">
        <f>IFERROR(INDEX(ativos!$E$2:$E$443,MATCH(preços!U$1&amp;preços!$A21,ativos!$A$2:$A$443,0),1),0)</f>
        <v>0</v>
      </c>
      <c r="V21" s="4">
        <f>IFERROR(INDEX(ativos!$E$2:$E$443,MATCH(preços!V$1&amp;preços!$A21,ativos!$A$2:$A$443,0),1),0)</f>
        <v>8.36</v>
      </c>
      <c r="W21" s="4">
        <f>IFERROR(INDEX(ativos!$E$2:$E$443,MATCH(preços!W$1&amp;preços!$A21,ativos!$A$2:$A$443,0),1),0)</f>
        <v>0</v>
      </c>
      <c r="X21" s="4">
        <f>IFERROR(INDEX(ativos!$E$2:$E$443,MATCH(preços!X$1&amp;preços!$A21,ativos!$A$2:$A$443,0),1),0)</f>
        <v>14.97</v>
      </c>
      <c r="Y21" s="4">
        <f>IFERROR(INDEX(ativos!$E$2:$E$443,MATCH(preços!Y$1&amp;preços!$A21,ativos!$A$2:$A$443,0),1),0)</f>
        <v>0</v>
      </c>
      <c r="Z21" s="4">
        <f>IFERROR(INDEX(ativos!$E$2:$E$443,MATCH(preços!Z$1&amp;preços!$A21,ativos!$A$2:$A$443,0),1),0)</f>
        <v>20.41</v>
      </c>
      <c r="AA21" s="4">
        <f>IFERROR(INDEX(ativos!$E$2:$E$443,MATCH(preços!AA$1&amp;preços!$A21,ativos!$A$2:$A$443,0),1),0)</f>
        <v>24.03</v>
      </c>
      <c r="AB21" s="4">
        <f>IFERROR(INDEX(ativos!$E$2:$E$443,MATCH(preços!AB$1&amp;preços!$A21,ativos!$A$2:$A$443,0),1),0)</f>
        <v>0</v>
      </c>
      <c r="AC21" s="4">
        <f>IFERROR(INDEX(ativos!$E$2:$E$443,MATCH(preços!AC$1&amp;preços!$A21,ativos!$A$2:$A$443,0),1),0)</f>
        <v>23.43</v>
      </c>
      <c r="AD21" s="4">
        <f>IFERROR(INDEX(ativos!$E$2:$E$443,MATCH(preços!AD$1&amp;preços!$A21,ativos!$A$2:$A$443,0),1),0)</f>
        <v>7.35</v>
      </c>
      <c r="AE21" s="4">
        <f>IFERROR(INDEX(ativos!$E$2:$E$443,MATCH(preços!AE$1&amp;preços!$A21,ativos!$A$2:$A$443,0),1),0)</f>
        <v>21.66</v>
      </c>
      <c r="AF21" s="4">
        <f>IFERROR(INDEX(ativos!$E$2:$E$443,MATCH(preços!AF$1&amp;preços!$A21,ativos!$A$2:$A$443,0),1),0)</f>
        <v>15.78</v>
      </c>
      <c r="AG21" s="4">
        <f>IFERROR(INDEX(ativos!$E$2:$E$443,MATCH(preços!AG$1&amp;preços!$A21,ativos!$A$2:$A$443,0),1),0)</f>
        <v>0</v>
      </c>
      <c r="AH21" s="4">
        <f>IFERROR(INDEX(ativos!$E$2:$E$443,MATCH(preços!AH$1&amp;preços!$A21,ativos!$A$2:$A$443,0),1),0)</f>
        <v>0</v>
      </c>
      <c r="AI21" s="4">
        <f>IFERROR(INDEX(ativos!$E$2:$E$443,MATCH(preços!AI$1&amp;preços!$A21,ativos!$A$2:$A$443,0),1),0)</f>
        <v>0</v>
      </c>
      <c r="AJ21" s="4">
        <f>IFERROR(INDEX(ativos!$E$2:$E$443,MATCH(preços!AJ$1&amp;preços!$A21,ativos!$A$2:$A$443,0),1),0)</f>
        <v>9.02</v>
      </c>
      <c r="AK21" s="4">
        <f>IFERROR(INDEX(ativos!$E$2:$E$443,MATCH(preços!AK$1&amp;preços!$A21,ativos!$A$2:$A$443,0),1),0)</f>
        <v>0</v>
      </c>
      <c r="AL21" s="4">
        <f>IFERROR(INDEX(ativos!$E$2:$E$443,MATCH(preços!AL$1&amp;preços!$A21,ativos!$A$2:$A$443,0),1),0)</f>
        <v>0</v>
      </c>
    </row>
    <row r="22" spans="1:38" x14ac:dyDescent="0.25">
      <c r="A22">
        <v>2017</v>
      </c>
      <c r="B22" s="4">
        <f>IFERROR(INDEX(ativos!$E$2:$E$443,MATCH(preços!B$1&amp;preços!$A22,ativos!$A$2:$A$443,0),1),0)</f>
        <v>15.61</v>
      </c>
      <c r="C22" s="4">
        <f>IFERROR(INDEX(ativos!$E$2:$E$443,MATCH(preços!C$1&amp;preços!$A22,ativos!$A$2:$A$443,0),1),0)</f>
        <v>5.7</v>
      </c>
      <c r="D22" s="4">
        <f>IFERROR(INDEX(ativos!$E$2:$E$443,MATCH(preços!D$1&amp;preços!$A22,ativos!$A$2:$A$443,0),1),0)</f>
        <v>16.96</v>
      </c>
      <c r="E22" s="4">
        <f>IFERROR(INDEX(ativos!$E$2:$E$443,MATCH(preços!E$1&amp;preços!$A22,ativos!$A$2:$A$443,0),1),0)</f>
        <v>16.5</v>
      </c>
      <c r="F22" s="4">
        <f>IFERROR(INDEX(ativos!$E$2:$E$443,MATCH(preços!F$1&amp;preços!$A22,ativos!$A$2:$A$443,0),1),0)</f>
        <v>5.35</v>
      </c>
      <c r="G22" s="4">
        <f>IFERROR(INDEX(ativos!$E$2:$E$443,MATCH(preços!G$1&amp;preços!$A22,ativos!$A$2:$A$443,0),1),0)</f>
        <v>10.07</v>
      </c>
      <c r="H22" s="4">
        <f>IFERROR(INDEX(ativos!$E$2:$E$443,MATCH(preços!H$1&amp;preços!$A22,ativos!$A$2:$A$443,0),1),0)</f>
        <v>16.59</v>
      </c>
      <c r="I22" s="4">
        <f>IFERROR(INDEX(ativos!$E$2:$E$443,MATCH(preços!I$1&amp;preços!$A22,ativos!$A$2:$A$443,0),1),0)</f>
        <v>22.89</v>
      </c>
      <c r="J22" s="4">
        <f>IFERROR(INDEX(ativos!$E$2:$E$443,MATCH(preços!J$1&amp;preços!$A22,ativos!$A$2:$A$443,0),1),0)</f>
        <v>15.37</v>
      </c>
      <c r="K22" s="4">
        <f>IFERROR(INDEX(ativos!$E$2:$E$443,MATCH(preços!K$1&amp;preços!$A22,ativos!$A$2:$A$443,0),1),0)</f>
        <v>26.41</v>
      </c>
      <c r="L22" s="4">
        <f>IFERROR(INDEX(ativos!$E$2:$E$443,MATCH(preços!L$1&amp;preços!$A22,ativos!$A$2:$A$443,0),1),0)</f>
        <v>6.95</v>
      </c>
      <c r="M22" s="4">
        <f>IFERROR(INDEX(ativos!$E$2:$E$443,MATCH(preços!M$1&amp;preços!$A22,ativos!$A$2:$A$443,0),1),0)</f>
        <v>2.62</v>
      </c>
      <c r="N22" s="4">
        <f>IFERROR(INDEX(ativos!$E$2:$E$443,MATCH(preços!N$1&amp;preços!$A22,ativos!$A$2:$A$443,0),1),0)</f>
        <v>8.4</v>
      </c>
      <c r="O22" s="4">
        <f>IFERROR(INDEX(ativos!$E$2:$E$443,MATCH(preços!O$1&amp;preços!$A22,ativos!$A$2:$A$443,0),1),0)</f>
        <v>9.9499999999999993</v>
      </c>
      <c r="P22" s="4">
        <f>IFERROR(INDEX(ativos!$E$2:$E$443,MATCH(preços!P$1&amp;preços!$A22,ativos!$A$2:$A$443,0),1),0)</f>
        <v>0</v>
      </c>
      <c r="Q22" s="4">
        <f>IFERROR(INDEX(ativos!$E$2:$E$443,MATCH(preços!Q$1&amp;preços!$A22,ativos!$A$2:$A$443,0),1),0)</f>
        <v>17.260000000000002</v>
      </c>
      <c r="R22" s="4">
        <f>IFERROR(INDEX(ativos!$E$2:$E$443,MATCH(preços!R$1&amp;preços!$A22,ativos!$A$2:$A$443,0),1),0)</f>
        <v>0</v>
      </c>
      <c r="S22" s="4">
        <f>IFERROR(INDEX(ativos!$E$2:$E$443,MATCH(preços!S$1&amp;preços!$A22,ativos!$A$2:$A$443,0),1),0)</f>
        <v>25.88</v>
      </c>
      <c r="T22" s="4">
        <f>IFERROR(INDEX(ativos!$E$2:$E$443,MATCH(preços!T$1&amp;preços!$A22,ativos!$A$2:$A$443,0),1),0)</f>
        <v>0</v>
      </c>
      <c r="U22" s="4">
        <f>IFERROR(INDEX(ativos!$E$2:$E$443,MATCH(preços!U$1&amp;preços!$A22,ativos!$A$2:$A$443,0),1),0)</f>
        <v>0</v>
      </c>
      <c r="V22" s="4">
        <f>IFERROR(INDEX(ativos!$E$2:$E$443,MATCH(preços!V$1&amp;preços!$A22,ativos!$A$2:$A$443,0),1),0)</f>
        <v>7.91</v>
      </c>
      <c r="W22" s="4">
        <f>IFERROR(INDEX(ativos!$E$2:$E$443,MATCH(preços!W$1&amp;preços!$A22,ativos!$A$2:$A$443,0),1),0)</f>
        <v>0</v>
      </c>
      <c r="X22" s="4">
        <f>IFERROR(INDEX(ativos!$E$2:$E$443,MATCH(preços!X$1&amp;preços!$A22,ativos!$A$2:$A$443,0),1),0)</f>
        <v>16.5</v>
      </c>
      <c r="Y22" s="4">
        <f>IFERROR(INDEX(ativos!$E$2:$E$443,MATCH(preços!Y$1&amp;preços!$A22,ativos!$A$2:$A$443,0),1),0)</f>
        <v>17.22</v>
      </c>
      <c r="Z22" s="4">
        <f>IFERROR(INDEX(ativos!$E$2:$E$443,MATCH(preços!Z$1&amp;preços!$A22,ativos!$A$2:$A$443,0),1),0)</f>
        <v>23.64</v>
      </c>
      <c r="AA22" s="4">
        <f>IFERROR(INDEX(ativos!$E$2:$E$443,MATCH(preços!AA$1&amp;preços!$A22,ativos!$A$2:$A$443,0),1),0)</f>
        <v>22.23</v>
      </c>
      <c r="AB22" s="4">
        <f>IFERROR(INDEX(ativos!$E$2:$E$443,MATCH(preços!AB$1&amp;preços!$A22,ativos!$A$2:$A$443,0),1),0)</f>
        <v>0</v>
      </c>
      <c r="AC22" s="4">
        <f>IFERROR(INDEX(ativos!$E$2:$E$443,MATCH(preços!AC$1&amp;preços!$A22,ativos!$A$2:$A$443,0),1),0)</f>
        <v>0</v>
      </c>
      <c r="AD22" s="4">
        <f>IFERROR(INDEX(ativos!$E$2:$E$443,MATCH(preços!AD$1&amp;preços!$A22,ativos!$A$2:$A$443,0),1),0)</f>
        <v>8.73</v>
      </c>
      <c r="AE22" s="4">
        <f>IFERROR(INDEX(ativos!$E$2:$E$443,MATCH(preços!AE$1&amp;preços!$A22,ativos!$A$2:$A$443,0),1),0)</f>
        <v>17.3</v>
      </c>
      <c r="AF22" s="4">
        <f>IFERROR(INDEX(ativos!$E$2:$E$443,MATCH(preços!AF$1&amp;preços!$A22,ativos!$A$2:$A$443,0),1),0)</f>
        <v>13.93</v>
      </c>
      <c r="AG22" s="4">
        <f>IFERROR(INDEX(ativos!$E$2:$E$443,MATCH(preços!AG$1&amp;preços!$A22,ativos!$A$2:$A$443,0),1),0)</f>
        <v>0</v>
      </c>
      <c r="AH22" s="4">
        <f>IFERROR(INDEX(ativos!$E$2:$E$443,MATCH(preços!AH$1&amp;preços!$A22,ativos!$A$2:$A$443,0),1),0)</f>
        <v>0</v>
      </c>
      <c r="AI22" s="4">
        <f>IFERROR(INDEX(ativos!$E$2:$E$443,MATCH(preços!AI$1&amp;preços!$A22,ativos!$A$2:$A$443,0),1),0)</f>
        <v>0</v>
      </c>
      <c r="AJ22" s="4">
        <f>IFERROR(INDEX(ativos!$E$2:$E$443,MATCH(preços!AJ$1&amp;preços!$A22,ativos!$A$2:$A$443,0),1),0)</f>
        <v>8.9700000000000006</v>
      </c>
      <c r="AK22" s="4">
        <f>IFERROR(INDEX(ativos!$E$2:$E$443,MATCH(preços!AK$1&amp;preços!$A22,ativos!$A$2:$A$443,0),1),0)</f>
        <v>0</v>
      </c>
      <c r="AL22" s="4">
        <f>IFERROR(INDEX(ativos!$E$2:$E$443,MATCH(preços!AL$1&amp;preços!$A22,ativos!$A$2:$A$443,0),1),0)</f>
        <v>0</v>
      </c>
    </row>
    <row r="23" spans="1:38" x14ac:dyDescent="0.25">
      <c r="A23">
        <v>2018</v>
      </c>
      <c r="B23" s="4">
        <f>IFERROR(INDEX(ativos!$E$2:$E$443,MATCH(preços!B$1&amp;preços!$A23,ativos!$A$2:$A$443,0),1),0)</f>
        <v>20.54</v>
      </c>
      <c r="C23" s="4">
        <f>IFERROR(INDEX(ativos!$E$2:$E$443,MATCH(preços!C$1&amp;preços!$A23,ativos!$A$2:$A$443,0),1),0)</f>
        <v>8.66</v>
      </c>
      <c r="D23" s="4">
        <f>IFERROR(INDEX(ativos!$E$2:$E$443,MATCH(preços!D$1&amp;preços!$A23,ativos!$A$2:$A$443,0),1),0)</f>
        <v>29.98</v>
      </c>
      <c r="E23" s="4">
        <f>IFERROR(INDEX(ativos!$E$2:$E$443,MATCH(preços!E$1&amp;preços!$A23,ativos!$A$2:$A$443,0),1),0)</f>
        <v>23.74</v>
      </c>
      <c r="F23" s="4">
        <f>IFERROR(INDEX(ativos!$E$2:$E$443,MATCH(preços!F$1&amp;preços!$A23,ativos!$A$2:$A$443,0),1),0)</f>
        <v>7.7</v>
      </c>
      <c r="G23" s="4">
        <f>IFERROR(INDEX(ativos!$E$2:$E$443,MATCH(preços!G$1&amp;preços!$A23,ativos!$A$2:$A$443,0),1),0)</f>
        <v>17.72</v>
      </c>
      <c r="H23" s="4">
        <f>IFERROR(INDEX(ativos!$E$2:$E$443,MATCH(preços!H$1&amp;preços!$A23,ativos!$A$2:$A$443,0),1),0)</f>
        <v>26.79</v>
      </c>
      <c r="I23" s="4">
        <f>IFERROR(INDEX(ativos!$E$2:$E$443,MATCH(preços!I$1&amp;preços!$A23,ativos!$A$2:$A$443,0),1),0)</f>
        <v>23.83</v>
      </c>
      <c r="J23" s="4">
        <f>IFERROR(INDEX(ativos!$E$2:$E$443,MATCH(preços!J$1&amp;preços!$A23,ativos!$A$2:$A$443,0),1),0)</f>
        <v>20.079999999999998</v>
      </c>
      <c r="K23" s="4">
        <f>IFERROR(INDEX(ativos!$E$2:$E$443,MATCH(preços!K$1&amp;preços!$A23,ativos!$A$2:$A$443,0),1),0)</f>
        <v>34.74</v>
      </c>
      <c r="L23" s="4">
        <f>IFERROR(INDEX(ativos!$E$2:$E$443,MATCH(preços!L$1&amp;preços!$A23,ativos!$A$2:$A$443,0),1),0)</f>
        <v>10.01</v>
      </c>
      <c r="M23" s="4">
        <f>IFERROR(INDEX(ativos!$E$2:$E$443,MATCH(preços!M$1&amp;preços!$A23,ativos!$A$2:$A$443,0),1),0)</f>
        <v>8.83</v>
      </c>
      <c r="N23" s="4">
        <f>IFERROR(INDEX(ativos!$E$2:$E$443,MATCH(preços!N$1&amp;preços!$A23,ativos!$A$2:$A$443,0),1),0)</f>
        <v>10.59</v>
      </c>
      <c r="O23" s="4">
        <f>IFERROR(INDEX(ativos!$E$2:$E$443,MATCH(preços!O$1&amp;preços!$A23,ativos!$A$2:$A$443,0),1),0)</f>
        <v>15.37</v>
      </c>
      <c r="P23" s="4">
        <f>IFERROR(INDEX(ativos!$E$2:$E$443,MATCH(preços!P$1&amp;preços!$A23,ativos!$A$2:$A$443,0),1),0)</f>
        <v>0</v>
      </c>
      <c r="Q23" s="4">
        <f>IFERROR(INDEX(ativos!$E$2:$E$443,MATCH(preços!Q$1&amp;preços!$A23,ativos!$A$2:$A$443,0),1),0)</f>
        <v>24.1</v>
      </c>
      <c r="R23" s="4">
        <f>IFERROR(INDEX(ativos!$E$2:$E$443,MATCH(preços!R$1&amp;preços!$A23,ativos!$A$2:$A$443,0),1),0)</f>
        <v>0</v>
      </c>
      <c r="S23" s="4">
        <f>IFERROR(INDEX(ativos!$E$2:$E$443,MATCH(preços!S$1&amp;preços!$A23,ativos!$A$2:$A$443,0),1),0)</f>
        <v>55.97</v>
      </c>
      <c r="T23" s="4">
        <f>IFERROR(INDEX(ativos!$E$2:$E$443,MATCH(preços!T$1&amp;preços!$A23,ativos!$A$2:$A$443,0),1),0)</f>
        <v>5.44</v>
      </c>
      <c r="U23" s="4">
        <f>IFERROR(INDEX(ativos!$E$2:$E$443,MATCH(preços!U$1&amp;preços!$A23,ativos!$A$2:$A$443,0),1),0)</f>
        <v>0</v>
      </c>
      <c r="V23" s="4">
        <f>IFERROR(INDEX(ativos!$E$2:$E$443,MATCH(preços!V$1&amp;preços!$A23,ativos!$A$2:$A$443,0),1),0)</f>
        <v>11.96</v>
      </c>
      <c r="W23" s="4">
        <f>IFERROR(INDEX(ativos!$E$2:$E$443,MATCH(preços!W$1&amp;preços!$A23,ativos!$A$2:$A$443,0),1),0)</f>
        <v>7.09</v>
      </c>
      <c r="X23" s="4">
        <f>IFERROR(INDEX(ativos!$E$2:$E$443,MATCH(preços!X$1&amp;preços!$A23,ativos!$A$2:$A$443,0),1),0)</f>
        <v>29.78</v>
      </c>
      <c r="Y23" s="4">
        <f>IFERROR(INDEX(ativos!$E$2:$E$443,MATCH(preços!Y$1&amp;preços!$A23,ativos!$A$2:$A$443,0),1),0)</f>
        <v>25.17</v>
      </c>
      <c r="Z23" s="4">
        <f>IFERROR(INDEX(ativos!$E$2:$E$443,MATCH(preços!Z$1&amp;preços!$A23,ativos!$A$2:$A$443,0),1),0)</f>
        <v>33.74</v>
      </c>
      <c r="AA23" s="4">
        <f>IFERROR(INDEX(ativos!$E$2:$E$443,MATCH(preços!AA$1&amp;preços!$A23,ativos!$A$2:$A$443,0),1),0)</f>
        <v>22.65</v>
      </c>
      <c r="AB23" s="4">
        <f>IFERROR(INDEX(ativos!$E$2:$E$443,MATCH(preços!AB$1&amp;preços!$A23,ativos!$A$2:$A$443,0),1),0)</f>
        <v>0</v>
      </c>
      <c r="AC23" s="4">
        <f>IFERROR(INDEX(ativos!$E$2:$E$443,MATCH(preços!AC$1&amp;preços!$A23,ativos!$A$2:$A$443,0),1),0)</f>
        <v>21.19</v>
      </c>
      <c r="AD23" s="4">
        <f>IFERROR(INDEX(ativos!$E$2:$E$443,MATCH(preços!AD$1&amp;preços!$A23,ativos!$A$2:$A$443,0),1),0)</f>
        <v>17.559999999999999</v>
      </c>
      <c r="AE23" s="4">
        <f>IFERROR(INDEX(ativos!$E$2:$E$443,MATCH(preços!AE$1&amp;preços!$A23,ativos!$A$2:$A$443,0),1),0)</f>
        <v>25.33</v>
      </c>
      <c r="AF23" s="4">
        <f>IFERROR(INDEX(ativos!$E$2:$E$443,MATCH(preços!AF$1&amp;preços!$A23,ativos!$A$2:$A$443,0),1),0)</f>
        <v>21.37</v>
      </c>
      <c r="AG23" s="4">
        <f>IFERROR(INDEX(ativos!$E$2:$E$443,MATCH(preços!AG$1&amp;preços!$A23,ativos!$A$2:$A$443,0),1),0)</f>
        <v>0</v>
      </c>
      <c r="AH23" s="4">
        <f>IFERROR(INDEX(ativos!$E$2:$E$443,MATCH(preços!AH$1&amp;preços!$A23,ativos!$A$2:$A$443,0),1),0)</f>
        <v>0</v>
      </c>
      <c r="AI23" s="4">
        <f>IFERROR(INDEX(ativos!$E$2:$E$443,MATCH(preços!AI$1&amp;preços!$A23,ativos!$A$2:$A$443,0),1),0)</f>
        <v>0</v>
      </c>
      <c r="AJ23" s="4">
        <f>IFERROR(INDEX(ativos!$E$2:$E$443,MATCH(preços!AJ$1&amp;preços!$A23,ativos!$A$2:$A$443,0),1),0)</f>
        <v>12.85</v>
      </c>
      <c r="AK23" s="4">
        <f>IFERROR(INDEX(ativos!$E$2:$E$443,MATCH(preços!AK$1&amp;preços!$A23,ativos!$A$2:$A$443,0),1),0)</f>
        <v>0</v>
      </c>
      <c r="AL23" s="4">
        <f>IFERROR(INDEX(ativos!$E$2:$E$443,MATCH(preços!AL$1&amp;preços!$A23,ativos!$A$2:$A$443,0),1),0)</f>
        <v>0</v>
      </c>
    </row>
    <row r="24" spans="1:38" x14ac:dyDescent="0.25">
      <c r="A24">
        <v>2019</v>
      </c>
      <c r="B24" s="4">
        <f>IFERROR(INDEX(ativos!$E$2:$E$443,MATCH(preços!B$1&amp;preços!$A24,ativos!$A$2:$A$443,0),1),0)</f>
        <v>28.77</v>
      </c>
      <c r="C24" s="4">
        <f>IFERROR(INDEX(ativos!$E$2:$E$443,MATCH(preços!C$1&amp;preços!$A24,ativos!$A$2:$A$443,0),1),0)</f>
        <v>9.11</v>
      </c>
      <c r="D24" s="4">
        <f>IFERROR(INDEX(ativos!$E$2:$E$443,MATCH(preços!D$1&amp;preços!$A24,ativos!$A$2:$A$443,0),1),0)</f>
        <v>36.53</v>
      </c>
      <c r="E24" s="4">
        <f>IFERROR(INDEX(ativos!$E$2:$E$443,MATCH(preços!E$1&amp;preços!$A24,ativos!$A$2:$A$443,0),1),0)</f>
        <v>28.45</v>
      </c>
      <c r="F24" s="4">
        <f>IFERROR(INDEX(ativos!$E$2:$E$443,MATCH(preços!F$1&amp;preços!$A24,ativos!$A$2:$A$443,0),1),0)</f>
        <v>9.58</v>
      </c>
      <c r="G24" s="4">
        <f>IFERROR(INDEX(ativos!$E$2:$E$443,MATCH(preços!G$1&amp;preços!$A24,ativos!$A$2:$A$443,0),1),0)</f>
        <v>24.53</v>
      </c>
      <c r="H24" s="4">
        <f>IFERROR(INDEX(ativos!$E$2:$E$443,MATCH(preços!H$1&amp;preços!$A24,ativos!$A$2:$A$443,0),1),0)</f>
        <v>20.63</v>
      </c>
      <c r="I24" s="4">
        <f>IFERROR(INDEX(ativos!$E$2:$E$443,MATCH(preços!I$1&amp;preços!$A24,ativos!$A$2:$A$443,0),1),0)</f>
        <v>38.880000000000003</v>
      </c>
      <c r="J24" s="4">
        <f>IFERROR(INDEX(ativos!$E$2:$E$443,MATCH(preços!J$1&amp;preços!$A24,ativos!$A$2:$A$443,0),1),0)</f>
        <v>16.54</v>
      </c>
      <c r="K24" s="4">
        <f>IFERROR(INDEX(ativos!$E$2:$E$443,MATCH(preços!K$1&amp;preços!$A24,ativos!$A$2:$A$443,0),1),0)</f>
        <v>47.35</v>
      </c>
      <c r="L24" s="4">
        <f>IFERROR(INDEX(ativos!$E$2:$E$443,MATCH(preços!L$1&amp;preços!$A24,ativos!$A$2:$A$443,0),1),0)</f>
        <v>10.6</v>
      </c>
      <c r="M24" s="4">
        <f>IFERROR(INDEX(ativos!$E$2:$E$443,MATCH(preços!M$1&amp;preços!$A24,ativos!$A$2:$A$443,0),1),0)</f>
        <v>11.5</v>
      </c>
      <c r="N24" s="4">
        <f>IFERROR(INDEX(ativos!$E$2:$E$443,MATCH(preços!N$1&amp;preços!$A24,ativos!$A$2:$A$443,0),1),0)</f>
        <v>10.96</v>
      </c>
      <c r="O24" s="4">
        <f>IFERROR(INDEX(ativos!$E$2:$E$443,MATCH(preços!O$1&amp;preços!$A24,ativos!$A$2:$A$443,0),1),0)</f>
        <v>15.43</v>
      </c>
      <c r="P24" s="4">
        <f>IFERROR(INDEX(ativos!$E$2:$E$443,MATCH(preços!P$1&amp;preços!$A24,ativos!$A$2:$A$443,0),1),0)</f>
        <v>6.76</v>
      </c>
      <c r="Q24" s="4">
        <f>IFERROR(INDEX(ativos!$E$2:$E$443,MATCH(preços!Q$1&amp;preços!$A24,ativos!$A$2:$A$443,0),1),0)</f>
        <v>28.07</v>
      </c>
      <c r="R24" s="4">
        <f>IFERROR(INDEX(ativos!$E$2:$E$443,MATCH(preços!R$1&amp;preços!$A24,ativos!$A$2:$A$443,0),1),0)</f>
        <v>0</v>
      </c>
      <c r="S24" s="4">
        <f>IFERROR(INDEX(ativos!$E$2:$E$443,MATCH(preços!S$1&amp;preços!$A24,ativos!$A$2:$A$443,0),1),0)</f>
        <v>52.94</v>
      </c>
      <c r="T24" s="4">
        <f>IFERROR(INDEX(ativos!$E$2:$E$443,MATCH(preços!T$1&amp;preços!$A24,ativos!$A$2:$A$443,0),1),0)</f>
        <v>8.68</v>
      </c>
      <c r="U24" s="4">
        <f>IFERROR(INDEX(ativos!$E$2:$E$443,MATCH(preços!U$1&amp;preços!$A24,ativos!$A$2:$A$443,0),1),0)</f>
        <v>0</v>
      </c>
      <c r="V24" s="4">
        <f>IFERROR(INDEX(ativos!$E$2:$E$443,MATCH(preços!V$1&amp;preços!$A24,ativos!$A$2:$A$443,0),1),0)</f>
        <v>15.61</v>
      </c>
      <c r="W24" s="4">
        <f>IFERROR(INDEX(ativos!$E$2:$E$443,MATCH(preços!W$1&amp;preços!$A24,ativos!$A$2:$A$443,0),1),0)</f>
        <v>6.93</v>
      </c>
      <c r="X24" s="4">
        <f>IFERROR(INDEX(ativos!$E$2:$E$443,MATCH(preços!X$1&amp;preços!$A24,ativos!$A$2:$A$443,0),1),0)</f>
        <v>39.83</v>
      </c>
      <c r="Y24" s="4">
        <f>IFERROR(INDEX(ativos!$E$2:$E$443,MATCH(preços!Y$1&amp;preços!$A24,ativos!$A$2:$A$443,0),1),0)</f>
        <v>27.2</v>
      </c>
      <c r="Z24" s="4">
        <f>IFERROR(INDEX(ativos!$E$2:$E$443,MATCH(preços!Z$1&amp;preços!$A24,ativos!$A$2:$A$443,0),1),0)</f>
        <v>35.24</v>
      </c>
      <c r="AA24" s="4">
        <f>IFERROR(INDEX(ativos!$E$2:$E$443,MATCH(preços!AA$1&amp;preços!$A24,ativos!$A$2:$A$443,0),1),0)</f>
        <v>26.76</v>
      </c>
      <c r="AB24" s="4">
        <f>IFERROR(INDEX(ativos!$E$2:$E$443,MATCH(preços!AB$1&amp;preços!$A24,ativos!$A$2:$A$443,0),1),0)</f>
        <v>0</v>
      </c>
      <c r="AC24" s="4">
        <f>IFERROR(INDEX(ativos!$E$2:$E$443,MATCH(preços!AC$1&amp;preços!$A24,ativos!$A$2:$A$443,0),1),0)</f>
        <v>28.92</v>
      </c>
      <c r="AD24" s="4">
        <f>IFERROR(INDEX(ativos!$E$2:$E$443,MATCH(preços!AD$1&amp;preços!$A24,ativos!$A$2:$A$443,0),1),0)</f>
        <v>24.78</v>
      </c>
      <c r="AE24" s="4">
        <f>IFERROR(INDEX(ativos!$E$2:$E$443,MATCH(preços!AE$1&amp;preços!$A24,ativos!$A$2:$A$443,0),1),0)</f>
        <v>31.55</v>
      </c>
      <c r="AF24" s="4">
        <f>IFERROR(INDEX(ativos!$E$2:$E$443,MATCH(preços!AF$1&amp;preços!$A24,ativos!$A$2:$A$443,0),1),0)</f>
        <v>22.66</v>
      </c>
      <c r="AG24" s="4">
        <f>IFERROR(INDEX(ativos!$E$2:$E$443,MATCH(preços!AG$1&amp;preços!$A24,ativos!$A$2:$A$443,0),1),0)</f>
        <v>0</v>
      </c>
      <c r="AH24" s="4">
        <f>IFERROR(INDEX(ativos!$E$2:$E$443,MATCH(preços!AH$1&amp;preços!$A24,ativos!$A$2:$A$443,0),1),0)</f>
        <v>0</v>
      </c>
      <c r="AI24" s="4">
        <f>IFERROR(INDEX(ativos!$E$2:$E$443,MATCH(preços!AI$1&amp;preços!$A24,ativos!$A$2:$A$443,0),1),0)</f>
        <v>0</v>
      </c>
      <c r="AJ24" s="4">
        <f>IFERROR(INDEX(ativos!$E$2:$E$443,MATCH(preços!AJ$1&amp;preços!$A24,ativos!$A$2:$A$443,0),1),0)</f>
        <v>14.81</v>
      </c>
      <c r="AK24" s="4">
        <f>IFERROR(INDEX(ativos!$E$2:$E$443,MATCH(preços!AK$1&amp;preços!$A24,ativos!$A$2:$A$443,0),1),0)</f>
        <v>0</v>
      </c>
      <c r="AL24" s="4">
        <f>IFERROR(INDEX(ativos!$E$2:$E$443,MATCH(preços!AL$1&amp;preços!$A24,ativos!$A$2:$A$443,0),1),0)</f>
        <v>0</v>
      </c>
    </row>
    <row r="25" spans="1:38" x14ac:dyDescent="0.25">
      <c r="A25">
        <v>2020</v>
      </c>
      <c r="B25" s="4">
        <f>IFERROR(INDEX(ativos!$E$2:$E$443,MATCH(preços!B$1&amp;preços!$A25,ativos!$A$2:$A$443,0),1),0)</f>
        <v>30.05</v>
      </c>
      <c r="C25" s="4">
        <f>IFERROR(INDEX(ativos!$E$2:$E$443,MATCH(preços!C$1&amp;preços!$A25,ativos!$A$2:$A$443,0),1),0)</f>
        <v>19.350000000000001</v>
      </c>
      <c r="D25" s="4">
        <f>IFERROR(INDEX(ativos!$E$2:$E$443,MATCH(preços!D$1&amp;preços!$A25,ativos!$A$2:$A$443,0),1),0)</f>
        <v>51.38</v>
      </c>
      <c r="E25" s="4">
        <f>IFERROR(INDEX(ativos!$E$2:$E$443,MATCH(preços!E$1&amp;preços!$A25,ativos!$A$2:$A$443,0),1),0)</f>
        <v>27.84</v>
      </c>
      <c r="F25" s="4">
        <f>IFERROR(INDEX(ativos!$E$2:$E$443,MATCH(preços!F$1&amp;preços!$A25,ativos!$A$2:$A$443,0),1),0)</f>
        <v>15.1</v>
      </c>
      <c r="G25" s="4">
        <f>IFERROR(INDEX(ativos!$E$2:$E$443,MATCH(preços!G$1&amp;preços!$A25,ativos!$A$2:$A$443,0),1),0)</f>
        <v>30.08</v>
      </c>
      <c r="H25" s="4">
        <f>IFERROR(INDEX(ativos!$E$2:$E$443,MATCH(preços!H$1&amp;preços!$A25,ativos!$A$2:$A$443,0),1),0)</f>
        <v>30.08</v>
      </c>
      <c r="I25" s="4">
        <f>IFERROR(INDEX(ativos!$E$2:$E$443,MATCH(preços!I$1&amp;preços!$A25,ativos!$A$2:$A$443,0),1),0)</f>
        <v>50.1</v>
      </c>
      <c r="J25" s="4">
        <f>IFERROR(INDEX(ativos!$E$2:$E$443,MATCH(preços!J$1&amp;preços!$A25,ativos!$A$2:$A$443,0),1),0)</f>
        <v>17.309999999999999</v>
      </c>
      <c r="K25" s="4">
        <f>IFERROR(INDEX(ativos!$E$2:$E$443,MATCH(preços!K$1&amp;preços!$A25,ativos!$A$2:$A$443,0),1),0)</f>
        <v>46.66</v>
      </c>
      <c r="L25" s="4">
        <f>IFERROR(INDEX(ativos!$E$2:$E$443,MATCH(preços!L$1&amp;preços!$A25,ativos!$A$2:$A$443,0),1),0)</f>
        <v>15.62</v>
      </c>
      <c r="M25" s="4">
        <f>IFERROR(INDEX(ativos!$E$2:$E$443,MATCH(preços!M$1&amp;preços!$A25,ativos!$A$2:$A$443,0),1),0)</f>
        <v>47.93</v>
      </c>
      <c r="N25" s="4">
        <f>IFERROR(INDEX(ativos!$E$2:$E$443,MATCH(preços!N$1&amp;preços!$A25,ativos!$A$2:$A$443,0),1),0)</f>
        <v>24.76</v>
      </c>
      <c r="O25" s="4">
        <f>IFERROR(INDEX(ativos!$E$2:$E$443,MATCH(preços!O$1&amp;preços!$A25,ativos!$A$2:$A$443,0),1),0)</f>
        <v>17.04</v>
      </c>
      <c r="P25" s="4">
        <f>IFERROR(INDEX(ativos!$E$2:$E$443,MATCH(preços!P$1&amp;preços!$A25,ativos!$A$2:$A$443,0),1),0)</f>
        <v>11.98</v>
      </c>
      <c r="Q25" s="4">
        <f>IFERROR(INDEX(ativos!$E$2:$E$443,MATCH(preços!Q$1&amp;preços!$A25,ativos!$A$2:$A$443,0),1),0)</f>
        <v>27.74</v>
      </c>
      <c r="R25" s="4">
        <f>IFERROR(INDEX(ativos!$E$2:$E$443,MATCH(preços!R$1&amp;preços!$A25,ativos!$A$2:$A$443,0),1),0)</f>
        <v>31.47</v>
      </c>
      <c r="S25" s="4">
        <f>IFERROR(INDEX(ativos!$E$2:$E$443,MATCH(preços!S$1&amp;preços!$A25,ativos!$A$2:$A$443,0),1),0)</f>
        <v>59.78</v>
      </c>
      <c r="T25" s="4">
        <f>IFERROR(INDEX(ativos!$E$2:$E$443,MATCH(preços!T$1&amp;preços!$A25,ativos!$A$2:$A$443,0),1),0)</f>
        <v>9.8000000000000007</v>
      </c>
      <c r="U25" s="4">
        <f>IFERROR(INDEX(ativos!$E$2:$E$443,MATCH(preços!U$1&amp;preços!$A25,ativos!$A$2:$A$443,0),1),0)</f>
        <v>5.43</v>
      </c>
      <c r="V25" s="4">
        <f>IFERROR(INDEX(ativos!$E$2:$E$443,MATCH(preços!V$1&amp;preços!$A25,ativos!$A$2:$A$443,0),1),0)</f>
        <v>29.98</v>
      </c>
      <c r="W25" s="4">
        <f>IFERROR(INDEX(ativos!$E$2:$E$443,MATCH(preços!W$1&amp;preços!$A25,ativos!$A$2:$A$443,0),1),0)</f>
        <v>17.43</v>
      </c>
      <c r="X25" s="4">
        <f>IFERROR(INDEX(ativos!$E$2:$E$443,MATCH(preços!X$1&amp;preços!$A25,ativos!$A$2:$A$443,0),1),0)</f>
        <v>55.15</v>
      </c>
      <c r="Y25" s="4">
        <f>IFERROR(INDEX(ativos!$E$2:$E$443,MATCH(preços!Y$1&amp;preços!$A25,ativos!$A$2:$A$443,0),1),0)</f>
        <v>40.99</v>
      </c>
      <c r="Z25" s="4">
        <f>IFERROR(INDEX(ativos!$E$2:$E$443,MATCH(preços!Z$1&amp;preços!$A25,ativos!$A$2:$A$443,0),1),0)</f>
        <v>54.71</v>
      </c>
      <c r="AA25" s="4">
        <f>IFERROR(INDEX(ativos!$E$2:$E$443,MATCH(preços!AA$1&amp;preços!$A25,ativos!$A$2:$A$443,0),1),0)</f>
        <v>39.28</v>
      </c>
      <c r="AB25" s="4">
        <f>IFERROR(INDEX(ativos!$E$2:$E$443,MATCH(preços!AB$1&amp;preços!$A25,ativos!$A$2:$A$443,0),1),0)</f>
        <v>30.01</v>
      </c>
      <c r="AC25" s="4">
        <f>IFERROR(INDEX(ativos!$E$2:$E$443,MATCH(preços!AC$1&amp;preços!$A25,ativos!$A$2:$A$443,0),1),0)</f>
        <v>41.69</v>
      </c>
      <c r="AD25" s="4">
        <f>IFERROR(INDEX(ativos!$E$2:$E$443,MATCH(preços!AD$1&amp;preços!$A25,ativos!$A$2:$A$443,0),1),0)</f>
        <v>29.2</v>
      </c>
      <c r="AE25" s="4">
        <f>IFERROR(INDEX(ativos!$E$2:$E$443,MATCH(preços!AE$1&amp;preços!$A25,ativos!$A$2:$A$443,0),1),0)</f>
        <v>44.56</v>
      </c>
      <c r="AF25" s="4">
        <f>IFERROR(INDEX(ativos!$E$2:$E$443,MATCH(preços!AF$1&amp;preços!$A25,ativos!$A$2:$A$443,0),1),0)</f>
        <v>34.25</v>
      </c>
      <c r="AG25" s="4">
        <f>IFERROR(INDEX(ativos!$E$2:$E$443,MATCH(preços!AG$1&amp;preços!$A25,ativos!$A$2:$A$443,0),1),0)</f>
        <v>46.02</v>
      </c>
      <c r="AH25" s="4">
        <f>IFERROR(INDEX(ativos!$E$2:$E$443,MATCH(preços!AH$1&amp;preços!$A25,ativos!$A$2:$A$443,0),1),0)</f>
        <v>550.95000000000005</v>
      </c>
      <c r="AI25" s="4">
        <f>IFERROR(INDEX(ativos!$E$2:$E$443,MATCH(preços!AI$1&amp;preços!$A25,ativos!$A$2:$A$443,0),1),0)</f>
        <v>29</v>
      </c>
      <c r="AJ25" s="4">
        <f>IFERROR(INDEX(ativos!$E$2:$E$443,MATCH(preços!AJ$1&amp;preços!$A25,ativos!$A$2:$A$443,0),1),0)</f>
        <v>33.049999999999997</v>
      </c>
      <c r="AK25" s="4">
        <f>IFERROR(INDEX(ativos!$E$2:$E$443,MATCH(preços!AK$1&amp;preços!$A25,ativos!$A$2:$A$443,0),1),0)</f>
        <v>145.03</v>
      </c>
      <c r="AL25" s="4">
        <f>IFERROR(INDEX(ativos!$E$2:$E$443,MATCH(preços!AL$1&amp;preços!$A25,ativos!$A$2:$A$443,0),1),0)</f>
        <v>31.23</v>
      </c>
    </row>
    <row r="26" spans="1:38" x14ac:dyDescent="0.25">
      <c r="A26">
        <v>2021</v>
      </c>
      <c r="B26" s="4">
        <f>IFERROR(INDEX(ativos!$E$2:$E$443,MATCH(preços!B$1&amp;preços!$A26,ativos!$A$2:$A$443,0),1),0)</f>
        <v>27.33</v>
      </c>
      <c r="C26" s="4">
        <f>IFERROR(INDEX(ativos!$E$2:$E$443,MATCH(preços!C$1&amp;preços!$A26,ativos!$A$2:$A$443,0),1),0)</f>
        <v>41.48</v>
      </c>
      <c r="D26" s="4">
        <f>IFERROR(INDEX(ativos!$E$2:$E$443,MATCH(preços!D$1&amp;preços!$A26,ativos!$A$2:$A$443,0),1),0)</f>
        <v>37.380000000000003</v>
      </c>
      <c r="E26" s="4">
        <f>IFERROR(INDEX(ativos!$E$2:$E$443,MATCH(preços!E$1&amp;preços!$A26,ativos!$A$2:$A$443,0),1),0)</f>
        <v>25.58</v>
      </c>
      <c r="F26" s="4">
        <f>IFERROR(INDEX(ativos!$E$2:$E$443,MATCH(preços!F$1&amp;preços!$A26,ativos!$A$2:$A$443,0),1),0)</f>
        <v>19.53</v>
      </c>
      <c r="G26" s="4">
        <f>IFERROR(INDEX(ativos!$E$2:$E$443,MATCH(preços!G$1&amp;preços!$A26,ativos!$A$2:$A$443,0),1),0)</f>
        <v>22.94</v>
      </c>
      <c r="H26" s="4">
        <f>IFERROR(INDEX(ativos!$E$2:$E$443,MATCH(preços!H$1&amp;preços!$A26,ativos!$A$2:$A$443,0),1),0)</f>
        <v>26.26</v>
      </c>
      <c r="I26" s="4">
        <f>IFERROR(INDEX(ativos!$E$2:$E$443,MATCH(preços!I$1&amp;preços!$A26,ativos!$A$2:$A$443,0),1),0)</f>
        <v>42.96</v>
      </c>
      <c r="J26" s="4">
        <f>IFERROR(INDEX(ativos!$E$2:$E$443,MATCH(preços!J$1&amp;preços!$A26,ativos!$A$2:$A$443,0),1),0)</f>
        <v>15.11</v>
      </c>
      <c r="K26" s="4">
        <f>IFERROR(INDEX(ativos!$E$2:$E$443,MATCH(preços!K$1&amp;preços!$A26,ativos!$A$2:$A$443,0),1),0)</f>
        <v>33.86</v>
      </c>
      <c r="L26" s="4">
        <f>IFERROR(INDEX(ativos!$E$2:$E$443,MATCH(preços!L$1&amp;preços!$A26,ativos!$A$2:$A$443,0),1),0)</f>
        <v>17.16</v>
      </c>
      <c r="M26" s="4">
        <f>IFERROR(INDEX(ativos!$E$2:$E$443,MATCH(preços!M$1&amp;preços!$A26,ativos!$A$2:$A$443,0),1),0)</f>
        <v>70.489999999999995</v>
      </c>
      <c r="N26" s="4">
        <f>IFERROR(INDEX(ativos!$E$2:$E$443,MATCH(preços!N$1&amp;preços!$A26,ativos!$A$2:$A$443,0),1),0)</f>
        <v>28.4</v>
      </c>
      <c r="O26" s="4">
        <f>IFERROR(INDEX(ativos!$E$2:$E$443,MATCH(preços!O$1&amp;preços!$A26,ativos!$A$2:$A$443,0),1),0)</f>
        <v>14.17</v>
      </c>
      <c r="P26" s="4">
        <f>IFERROR(INDEX(ativos!$E$2:$E$443,MATCH(preços!P$1&amp;preços!$A26,ativos!$A$2:$A$443,0),1),0)</f>
        <v>17.170000000000002</v>
      </c>
      <c r="Q26" s="4">
        <f>IFERROR(INDEX(ativos!$E$2:$E$443,MATCH(preços!Q$1&amp;preços!$A26,ativos!$A$2:$A$443,0),1),0)</f>
        <v>21.64</v>
      </c>
      <c r="R26" s="4">
        <f>IFERROR(INDEX(ativos!$E$2:$E$443,MATCH(preços!R$1&amp;preços!$A26,ativos!$A$2:$A$443,0),1),0)</f>
        <v>25.48</v>
      </c>
      <c r="S26" s="4">
        <f>IFERROR(INDEX(ativos!$E$2:$E$443,MATCH(preços!S$1&amp;preços!$A26,ativos!$A$2:$A$443,0),1),0)</f>
        <v>70.569999999999993</v>
      </c>
      <c r="T26" s="4">
        <f>IFERROR(INDEX(ativos!$E$2:$E$443,MATCH(preços!T$1&amp;preços!$A26,ativos!$A$2:$A$443,0),1),0)</f>
        <v>10.75</v>
      </c>
      <c r="U26" s="4">
        <f>IFERROR(INDEX(ativos!$E$2:$E$443,MATCH(preços!U$1&amp;preços!$A26,ativos!$A$2:$A$443,0),1),0)</f>
        <v>14.91</v>
      </c>
      <c r="V26" s="4">
        <f>IFERROR(INDEX(ativos!$E$2:$E$443,MATCH(preços!V$1&amp;preços!$A26,ativos!$A$2:$A$443,0),1),0)</f>
        <v>53.04</v>
      </c>
      <c r="W26" s="4">
        <f>IFERROR(INDEX(ativos!$E$2:$E$443,MATCH(preços!W$1&amp;preços!$A26,ativos!$A$2:$A$443,0),1),0)</f>
        <v>136.04</v>
      </c>
      <c r="X26" s="4">
        <f>IFERROR(INDEX(ativos!$E$2:$E$443,MATCH(preços!X$1&amp;preços!$A26,ativos!$A$2:$A$443,0),1),0)</f>
        <v>112</v>
      </c>
      <c r="Y26" s="4">
        <f>IFERROR(INDEX(ativos!$E$2:$E$443,MATCH(preços!Y$1&amp;preços!$A26,ativos!$A$2:$A$443,0),1),0)</f>
        <v>67.19</v>
      </c>
      <c r="Z26" s="4">
        <f>IFERROR(INDEX(ativos!$E$2:$E$443,MATCH(preços!Z$1&amp;preços!$A26,ativos!$A$2:$A$443,0),1),0)</f>
        <v>70.67</v>
      </c>
      <c r="AA26" s="4">
        <f>IFERROR(INDEX(ativos!$E$2:$E$443,MATCH(preços!AA$1&amp;preços!$A26,ativos!$A$2:$A$443,0),1),0)</f>
        <v>61.99</v>
      </c>
      <c r="AB26" s="4">
        <f>IFERROR(INDEX(ativos!$E$2:$E$443,MATCH(preços!AB$1&amp;preços!$A26,ativos!$A$2:$A$443,0),1),0)</f>
        <v>50.5</v>
      </c>
      <c r="AC26" s="4">
        <f>IFERROR(INDEX(ativos!$E$2:$E$443,MATCH(preços!AC$1&amp;preços!$A26,ativos!$A$2:$A$443,0),1),0)</f>
        <v>73.510000000000005</v>
      </c>
      <c r="AD26" s="4">
        <f>IFERROR(INDEX(ativos!$E$2:$E$443,MATCH(preços!AD$1&amp;preços!$A26,ativos!$A$2:$A$443,0),1),0)</f>
        <v>58.5</v>
      </c>
      <c r="AE26" s="4">
        <f>IFERROR(INDEX(ativos!$E$2:$E$443,MATCH(preços!AE$1&amp;preços!$A26,ativos!$A$2:$A$443,0),1),0)</f>
        <v>56.51</v>
      </c>
      <c r="AF26" s="4">
        <f>IFERROR(INDEX(ativos!$E$2:$E$443,MATCH(preços!AF$1&amp;preços!$A26,ativos!$A$2:$A$443,0),1),0)</f>
        <v>52.59</v>
      </c>
      <c r="AG26" s="4">
        <f>IFERROR(INDEX(ativos!$E$2:$E$443,MATCH(preços!AG$1&amp;preços!$A26,ativos!$A$2:$A$443,0),1),0)</f>
        <v>60.69</v>
      </c>
      <c r="AH26" s="4">
        <f>IFERROR(INDEX(ativos!$E$2:$E$443,MATCH(preços!AH$1&amp;preços!$A26,ativos!$A$2:$A$443,0),1),0)</f>
        <v>697.3</v>
      </c>
      <c r="AI26" s="4">
        <f>IFERROR(INDEX(ativos!$E$2:$E$443,MATCH(preços!AI$1&amp;preços!$A26,ativos!$A$2:$A$443,0),1),0)</f>
        <v>83.84</v>
      </c>
      <c r="AJ26" s="4">
        <f>IFERROR(INDEX(ativos!$E$2:$E$443,MATCH(preços!AJ$1&amp;preços!$A26,ativos!$A$2:$A$443,0),1),0)</f>
        <v>72.02</v>
      </c>
      <c r="AK26" s="4">
        <f>IFERROR(INDEX(ativos!$E$2:$E$443,MATCH(preços!AK$1&amp;preços!$A26,ativos!$A$2:$A$443,0),1),0)</f>
        <v>127</v>
      </c>
      <c r="AL26" s="4">
        <f>IFERROR(INDEX(ativos!$E$2:$E$443,MATCH(preços!AL$1&amp;preços!$A26,ativos!$A$2:$A$443,0),1),0)</f>
        <v>49.85</v>
      </c>
    </row>
    <row r="29" spans="1:38" x14ac:dyDescent="0.25">
      <c r="D29" s="12"/>
    </row>
  </sheetData>
  <autoFilter ref="A1:AL1" xr:uid="{FA6301A9-5852-4F81-B355-F3FBEBD84332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67939-C7DC-4A1E-9CF2-F027E9389CE2}">
  <sheetPr codeName="Planilha3"/>
  <dimension ref="A1:AR45"/>
  <sheetViews>
    <sheetView workbookViewId="0"/>
  </sheetViews>
  <sheetFormatPr defaultRowHeight="15" x14ac:dyDescent="0.25"/>
  <cols>
    <col min="1" max="1" width="17.5703125" style="2" bestFit="1" customWidth="1"/>
    <col min="2" max="2" width="8.5703125" style="2" bestFit="1" customWidth="1"/>
    <col min="3" max="3" width="7.7109375" style="2" bestFit="1" customWidth="1"/>
    <col min="4" max="4" width="17.140625" style="2" bestFit="1" customWidth="1"/>
    <col min="5" max="5" width="8.5703125" style="2" bestFit="1" customWidth="1"/>
    <col min="6" max="6" width="9.42578125" style="2" bestFit="1" customWidth="1"/>
    <col min="7" max="7" width="8.7109375" style="2" bestFit="1" customWidth="1"/>
    <col min="8" max="8" width="8.28515625" style="2" bestFit="1" customWidth="1"/>
    <col min="9" max="10" width="8.7109375" style="2" bestFit="1" customWidth="1"/>
    <col min="11" max="11" width="8.28515625" style="2" bestFit="1" customWidth="1"/>
    <col min="12" max="12" width="8.140625" style="2" bestFit="1" customWidth="1"/>
    <col min="13" max="13" width="9" style="2" bestFit="1" customWidth="1"/>
    <col min="14" max="14" width="8.85546875" style="2" bestFit="1" customWidth="1"/>
    <col min="15" max="15" width="9.140625" style="2" bestFit="1" customWidth="1"/>
    <col min="16" max="16" width="8.5703125" style="2" bestFit="1" customWidth="1"/>
    <col min="17" max="17" width="8.7109375" style="2" bestFit="1" customWidth="1"/>
    <col min="18" max="18" width="9.42578125" style="2" bestFit="1" customWidth="1"/>
    <col min="19" max="19" width="9.28515625" style="2" bestFit="1" customWidth="1"/>
    <col min="20" max="20" width="9" style="2" bestFit="1" customWidth="1"/>
    <col min="21" max="22" width="8.7109375" style="2" bestFit="1" customWidth="1"/>
    <col min="23" max="23" width="8.5703125" style="2" bestFit="1" customWidth="1"/>
    <col min="24" max="24" width="10.42578125" style="2" bestFit="1" customWidth="1"/>
    <col min="25" max="25" width="10" style="2" bestFit="1" customWidth="1"/>
    <col min="26" max="26" width="9.42578125" style="2" bestFit="1" customWidth="1"/>
    <col min="27" max="27" width="10.7109375" style="2" bestFit="1" customWidth="1"/>
    <col min="28" max="28" width="10.140625" style="2" bestFit="1" customWidth="1"/>
    <col min="29" max="29" width="10" style="2" bestFit="1" customWidth="1"/>
    <col min="30" max="30" width="9.28515625" style="2" bestFit="1" customWidth="1"/>
    <col min="31" max="31" width="10" style="2" bestFit="1" customWidth="1"/>
    <col min="32" max="32" width="9.42578125" style="2" bestFit="1" customWidth="1"/>
    <col min="33" max="33" width="9.7109375" style="2" bestFit="1" customWidth="1"/>
    <col min="34" max="34" width="10.5703125" style="2" bestFit="1" customWidth="1"/>
    <col min="35" max="35" width="10.7109375" style="2" bestFit="1" customWidth="1"/>
    <col min="36" max="36" width="10.28515625" style="2" bestFit="1" customWidth="1"/>
    <col min="37" max="37" width="9.85546875" style="2" bestFit="1" customWidth="1"/>
    <col min="38" max="38" width="10.140625" style="2" bestFit="1" customWidth="1"/>
    <col min="39" max="39" width="9.85546875" style="2" bestFit="1" customWidth="1"/>
    <col min="40" max="40" width="10" style="2" bestFit="1" customWidth="1"/>
    <col min="41" max="41" width="10.140625" style="2" bestFit="1" customWidth="1"/>
    <col min="42" max="42" width="7.42578125" style="2" bestFit="1" customWidth="1"/>
    <col min="43" max="43" width="9.140625" style="2"/>
    <col min="44" max="44" width="12" style="2" bestFit="1" customWidth="1"/>
    <col min="45" max="16384" width="9.140625" style="2"/>
  </cols>
  <sheetData>
    <row r="1" spans="1:44" x14ac:dyDescent="0.25">
      <c r="A1" s="2" t="s">
        <v>473</v>
      </c>
      <c r="B1" s="2" t="s">
        <v>918</v>
      </c>
      <c r="C1" s="2" t="s">
        <v>919</v>
      </c>
      <c r="D1" s="2" t="s">
        <v>920</v>
      </c>
      <c r="E1" s="8" t="s">
        <v>370</v>
      </c>
      <c r="F1" s="8" t="s">
        <v>456</v>
      </c>
      <c r="G1" s="8" t="s">
        <v>299</v>
      </c>
      <c r="H1" s="8" t="s">
        <v>269</v>
      </c>
      <c r="I1" s="8" t="s">
        <v>98</v>
      </c>
      <c r="J1" s="8" t="s">
        <v>404</v>
      </c>
      <c r="K1" s="8" t="s">
        <v>214</v>
      </c>
      <c r="L1" s="8" t="s">
        <v>195</v>
      </c>
      <c r="M1" s="8" t="s">
        <v>35</v>
      </c>
      <c r="N1" s="8" t="s">
        <v>117</v>
      </c>
      <c r="O1" s="8" t="s">
        <v>228</v>
      </c>
      <c r="P1" s="8" t="s">
        <v>394</v>
      </c>
      <c r="Q1" s="8" t="s">
        <v>433</v>
      </c>
      <c r="R1" s="8" t="s">
        <v>356</v>
      </c>
      <c r="S1" s="8" t="s">
        <v>255</v>
      </c>
      <c r="T1" s="8" t="s">
        <v>150</v>
      </c>
      <c r="U1" s="8" t="s">
        <v>452</v>
      </c>
      <c r="V1" s="8" t="s">
        <v>82</v>
      </c>
      <c r="W1" s="8" t="s">
        <v>429</v>
      </c>
      <c r="X1" s="9" t="s">
        <v>353</v>
      </c>
      <c r="Y1" s="9" t="s">
        <v>326</v>
      </c>
      <c r="Z1" s="9" t="s">
        <v>447</v>
      </c>
      <c r="AA1" s="9" t="s">
        <v>70</v>
      </c>
      <c r="AB1" s="9" t="s">
        <v>250</v>
      </c>
      <c r="AC1" s="9" t="s">
        <v>290</v>
      </c>
      <c r="AD1" s="9" t="s">
        <v>183</v>
      </c>
      <c r="AE1" s="9" t="s">
        <v>65</v>
      </c>
      <c r="AF1" s="9" t="s">
        <v>343</v>
      </c>
      <c r="AG1" s="9" t="s">
        <v>335</v>
      </c>
      <c r="AH1" s="9" t="s">
        <v>318</v>
      </c>
      <c r="AI1" s="9" t="s">
        <v>262</v>
      </c>
      <c r="AJ1" s="9" t="s">
        <v>178</v>
      </c>
      <c r="AK1" s="9" t="s">
        <v>421</v>
      </c>
      <c r="AL1" s="9" t="s">
        <v>450</v>
      </c>
      <c r="AM1" s="9" t="s">
        <v>9</v>
      </c>
      <c r="AN1" s="9" t="s">
        <v>425</v>
      </c>
      <c r="AO1" s="9" t="s">
        <v>113</v>
      </c>
      <c r="AP1" s="10" t="s">
        <v>917</v>
      </c>
    </row>
    <row r="2" spans="1:44" x14ac:dyDescent="0.25">
      <c r="A2" s="2">
        <v>1998</v>
      </c>
      <c r="B2" s="7">
        <f>IFERROR(AVERAGEIF(E2:W2,"&lt;&gt;0",E2:W2),0)</f>
        <v>8.7504601329587678E-2</v>
      </c>
      <c r="C2" s="7">
        <f t="shared" ref="C2:C25" si="0">IFERROR(AVERAGEIF(X2:AO2,"&lt;&gt;0",X2:AO2),0)</f>
        <v>0</v>
      </c>
      <c r="D2" s="7">
        <f>AP2</f>
        <v>0.28788162721849986</v>
      </c>
      <c r="E2" s="7">
        <f>IF(AND(preços!B3&lt;&gt;0,preços!B2&lt;&gt;0),preços!B3/preços!B2 - 1,0)</f>
        <v>0.16564417177914104</v>
      </c>
      <c r="F2" s="7">
        <f>IF(AND(preços!C3&lt;&gt;0,preços!C2&lt;&gt;0),preços!C3/preços!C2 - 1,0)</f>
        <v>0</v>
      </c>
      <c r="G2" s="7">
        <f>IF(AND(preços!D3&lt;&gt;0,preços!D2&lt;&gt;0),preços!D3/preços!D2 - 1,0)</f>
        <v>0</v>
      </c>
      <c r="H2" s="7">
        <f>IF(AND(preços!E3&lt;&gt;0,preços!E2&lt;&gt;0),preços!E3/preços!E2 - 1,0)</f>
        <v>0.14285714285714302</v>
      </c>
      <c r="I2" s="7">
        <f>IF(AND(preços!F3&lt;&gt;0,preços!F2&lt;&gt;0),preços!F3/preços!F2 - 1,0)</f>
        <v>0</v>
      </c>
      <c r="J2" s="7">
        <f>IF(AND(preços!G3&lt;&gt;0,preços!G2&lt;&gt;0),preços!G3/preços!G2 - 1,0)</f>
        <v>0</v>
      </c>
      <c r="K2" s="7">
        <f>IF(AND(preços!H3&lt;&gt;0,preços!H2&lt;&gt;0),preços!H3/preços!H2 - 1,0)</f>
        <v>0</v>
      </c>
      <c r="L2" s="7">
        <f>IF(AND(preços!I3&lt;&gt;0,preços!I2&lt;&gt;0),preços!I3/preços!I2 - 1,0)</f>
        <v>0</v>
      </c>
      <c r="M2" s="7">
        <f>IF(AND(preços!J3&lt;&gt;0,preços!J2&lt;&gt;0),preços!J3/preços!J2 - 1,0)</f>
        <v>0</v>
      </c>
      <c r="N2" s="7">
        <f>IF(AND(preços!K3&lt;&gt;0,preços!K2&lt;&gt;0),preços!K3/preços!K2 - 1,0)</f>
        <v>-0.16778523489932884</v>
      </c>
      <c r="O2" s="7">
        <f>IF(AND(preços!L3&lt;&gt;0,preços!L2&lt;&gt;0),preços!L3/preços!L2 - 1,0)</f>
        <v>0</v>
      </c>
      <c r="P2" s="7">
        <f>IF(AND(preços!M3&lt;&gt;0,preços!M2&lt;&gt;0),preços!M3/preços!M2 - 1,0)</f>
        <v>0</v>
      </c>
      <c r="Q2" s="7">
        <f>IF(AND(preços!N3&lt;&gt;0,preços!N2&lt;&gt;0),preços!N3/preços!N2 - 1,0)</f>
        <v>0</v>
      </c>
      <c r="R2" s="7">
        <f>IF(AND(preços!O3&lt;&gt;0,preços!O2&lt;&gt;0),preços!O3/preços!O2 - 1,0)</f>
        <v>0</v>
      </c>
      <c r="S2" s="7">
        <f>IF(AND(preços!P3&lt;&gt;0,preços!P2&lt;&gt;0),preços!P3/preços!P2 - 1,0)</f>
        <v>0</v>
      </c>
      <c r="T2" s="7">
        <f>IF(AND(preços!Q3&lt;&gt;0,preços!Q2&lt;&gt;0),preços!Q3/preços!Q2 - 1,0)</f>
        <v>0.2093023255813955</v>
      </c>
      <c r="U2" s="7">
        <f>IF(AND(preços!R3&lt;&gt;0,preços!R2&lt;&gt;0),preços!R3/preços!R2 - 1,0)</f>
        <v>0</v>
      </c>
      <c r="V2" s="7">
        <f>IF(AND(preços!S3&lt;&gt;0,preços!S2&lt;&gt;0),preços!S3/preços!S2 - 1,0)</f>
        <v>0</v>
      </c>
      <c r="W2" s="7">
        <f>IF(AND(preços!T3&lt;&gt;0,preços!T2&lt;&gt;0),preços!T3/preços!T2 - 1,0)</f>
        <v>0</v>
      </c>
      <c r="X2" s="7">
        <f>IF(AND(preços!U3&lt;&gt;0,preços!U2&lt;&gt;0),preços!U3/preços!U2 - 1,0)</f>
        <v>0</v>
      </c>
      <c r="Y2" s="7">
        <f>IF(AND(preços!V3&lt;&gt;0,preços!V2&lt;&gt;0),preços!V3/preços!V2 - 1,0)</f>
        <v>0</v>
      </c>
      <c r="Z2" s="7">
        <f>IF(AND(preços!W3&lt;&gt;0,preços!W2&lt;&gt;0),preços!W3/preços!W2 - 1,0)</f>
        <v>0</v>
      </c>
      <c r="AA2" s="7">
        <f>IF(AND(preços!X3&lt;&gt;0,preços!X2&lt;&gt;0),preços!X3/preços!X2 - 1,0)</f>
        <v>0</v>
      </c>
      <c r="AB2" s="7">
        <f>IF(AND(preços!Y3&lt;&gt;0,preços!Y2&lt;&gt;0),preços!Y3/preços!Y2 - 1,0)</f>
        <v>0</v>
      </c>
      <c r="AC2" s="7">
        <f>IF(AND(preços!Z3&lt;&gt;0,preços!Z2&lt;&gt;0),preços!Z3/preços!Z2 - 1,0)</f>
        <v>0</v>
      </c>
      <c r="AD2" s="7">
        <f>IF(AND(preços!AA3&lt;&gt;0,preços!AA2&lt;&gt;0),preços!AA3/preços!AA2 - 1,0)</f>
        <v>0</v>
      </c>
      <c r="AE2" s="7">
        <f>IF(AND(preços!AB3&lt;&gt;0,preços!AB2&lt;&gt;0),preços!AB3/preços!AB2 - 1,0)</f>
        <v>0</v>
      </c>
      <c r="AF2" s="7">
        <f>IF(AND(preços!AC3&lt;&gt;0,preços!AC2&lt;&gt;0),preços!AC3/preços!AC2 - 1,0)</f>
        <v>0</v>
      </c>
      <c r="AG2" s="7">
        <f>IF(AND(preços!AD3&lt;&gt;0,preços!AD2&lt;&gt;0),preços!AD3/preços!AD2 - 1,0)</f>
        <v>0</v>
      </c>
      <c r="AH2" s="7">
        <f>IF(AND(preços!AE3&lt;&gt;0,preços!AE2&lt;&gt;0),preços!AE3/preços!AE2 - 1,0)</f>
        <v>0</v>
      </c>
      <c r="AI2" s="7">
        <f>IF(AND(preços!AF3&lt;&gt;0,preços!AF2&lt;&gt;0),preços!AF3/preços!AF2 - 1,0)</f>
        <v>0</v>
      </c>
      <c r="AJ2" s="7">
        <f>IF(AND(preços!AG3&lt;&gt;0,preços!AG2&lt;&gt;0),preços!AG3/preços!AG2 - 1,0)</f>
        <v>0</v>
      </c>
      <c r="AK2" s="7">
        <f>IF(AND(preços!AH3&lt;&gt;0,preços!AH2&lt;&gt;0),preços!AH3/preços!AH2 - 1,0)</f>
        <v>0</v>
      </c>
      <c r="AL2" s="7">
        <f>IF(AND(preços!AI3&lt;&gt;0,preços!AI2&lt;&gt;0),preços!AI3/preços!AI2 - 1,0)</f>
        <v>0</v>
      </c>
      <c r="AM2" s="7">
        <f>IF(AND(preços!AJ3&lt;&gt;0,preços!AJ2&lt;&gt;0),preços!AJ3/preços!AJ2 - 1,0)</f>
        <v>0</v>
      </c>
      <c r="AN2" s="7">
        <f>IF(AND(preços!AK3&lt;&gt;0,preços!AK2&lt;&gt;0),preços!AK3/preços!AK2 - 1,0)</f>
        <v>0</v>
      </c>
      <c r="AO2" s="7">
        <f>IF(AND(preços!AL3&lt;&gt;0,preços!AL2&lt;&gt;0),preços!AL3/preços!AL2 - 1,0)</f>
        <v>0</v>
      </c>
      <c r="AP2" s="7" cm="1">
        <f t="array" ref="AP2">AcumularA(A2,selic!$A$2:$B$6050)</f>
        <v>0.28788162721849986</v>
      </c>
    </row>
    <row r="3" spans="1:44" x14ac:dyDescent="0.25">
      <c r="A3" s="2">
        <v>1999</v>
      </c>
      <c r="B3" s="7">
        <f t="shared" ref="B3:B25" si="1">AVERAGEIF(E3:W3,"&lt;&gt;0",E3:W3)</f>
        <v>-0.20467056288363589</v>
      </c>
      <c r="C3" s="7">
        <f t="shared" si="0"/>
        <v>0</v>
      </c>
      <c r="D3" s="7">
        <f t="shared" ref="D3:D25" si="2">AP3</f>
        <v>0.2558785089956146</v>
      </c>
      <c r="E3" s="7">
        <f>IF(AND(preços!B4&lt;&gt;0,preços!B3&lt;&gt;0),preços!B4/preços!B3 - 1,0)</f>
        <v>-0.59473684210526312</v>
      </c>
      <c r="F3" s="7">
        <f>IF(AND(preços!C4&lt;&gt;0,preços!C3&lt;&gt;0),preços!C4/preços!C3 - 1,0)</f>
        <v>0</v>
      </c>
      <c r="G3" s="7">
        <f>IF(AND(preços!D4&lt;&gt;0,preços!D3&lt;&gt;0),preços!D4/preços!D3 - 1,0)</f>
        <v>0</v>
      </c>
      <c r="H3" s="7">
        <f>IF(AND(preços!E4&lt;&gt;0,preços!E3&lt;&gt;0),preços!E4/preços!E3 - 1,0)</f>
        <v>0.125</v>
      </c>
      <c r="I3" s="7">
        <f>IF(AND(preços!F4&lt;&gt;0,preços!F3&lt;&gt;0),preços!F4/preços!F3 - 1,0)</f>
        <v>0</v>
      </c>
      <c r="J3" s="7">
        <f>IF(AND(preços!G4&lt;&gt;0,preços!G3&lt;&gt;0),preços!G4/preços!G3 - 1,0)</f>
        <v>0</v>
      </c>
      <c r="K3" s="7">
        <f>IF(AND(preços!H4&lt;&gt;0,preços!H3&lt;&gt;0),preços!H4/preços!H3 - 1,0)</f>
        <v>0</v>
      </c>
      <c r="L3" s="7">
        <f>IF(AND(preços!I4&lt;&gt;0,preços!I3&lt;&gt;0),preços!I4/preços!I3 - 1,0)</f>
        <v>0</v>
      </c>
      <c r="M3" s="7">
        <f>IF(AND(preços!J4&lt;&gt;0,preços!J3&lt;&gt;0),preços!J4/preços!J3 - 1,0)</f>
        <v>0</v>
      </c>
      <c r="N3" s="7">
        <f>IF(AND(preços!K4&lt;&gt;0,preços!K3&lt;&gt;0),preços!K4/preços!K3 - 1,0)</f>
        <v>-0.18548387096774188</v>
      </c>
      <c r="O3" s="7">
        <f>IF(AND(preços!L4&lt;&gt;0,preços!L3&lt;&gt;0),preços!L4/preços!L3 - 1,0)</f>
        <v>0</v>
      </c>
      <c r="P3" s="7">
        <f>IF(AND(preços!M4&lt;&gt;0,preços!M3&lt;&gt;0),preços!M4/preços!M3 - 1,0)</f>
        <v>0</v>
      </c>
      <c r="Q3" s="7">
        <f>IF(AND(preços!N4&lt;&gt;0,preços!N3&lt;&gt;0),preços!N4/preços!N3 - 1,0)</f>
        <v>0</v>
      </c>
      <c r="R3" s="7">
        <f>IF(AND(preços!O4&lt;&gt;0,preços!O3&lt;&gt;0),preços!O4/preços!O3 - 1,0)</f>
        <v>0</v>
      </c>
      <c r="S3" s="7">
        <f>IF(AND(preços!P4&lt;&gt;0,preços!P3&lt;&gt;0),preços!P4/preços!P3 - 1,0)</f>
        <v>0</v>
      </c>
      <c r="T3" s="7">
        <f>IF(AND(preços!Q4&lt;&gt;0,preços!Q3&lt;&gt;0),preços!Q4/preços!Q3 - 1,0)</f>
        <v>-0.16346153846153855</v>
      </c>
      <c r="U3" s="7">
        <f>IF(AND(preços!R4&lt;&gt;0,preços!R3&lt;&gt;0),preços!R4/preços!R3 - 1,0)</f>
        <v>0</v>
      </c>
      <c r="V3" s="7">
        <f>IF(AND(preços!S4&lt;&gt;0,preços!S3&lt;&gt;0),preços!S4/preços!S3 - 1,0)</f>
        <v>0</v>
      </c>
      <c r="W3" s="7">
        <f>IF(AND(preços!T4&lt;&gt;0,preços!T3&lt;&gt;0),preços!T4/preços!T3 - 1,0)</f>
        <v>0</v>
      </c>
      <c r="X3" s="7">
        <f>IF(AND(preços!U4&lt;&gt;0,preços!U3&lt;&gt;0),preços!U4/preços!U3 - 1,0)</f>
        <v>0</v>
      </c>
      <c r="Y3" s="7">
        <f>IF(AND(preços!V4&lt;&gt;0,preços!V3&lt;&gt;0),preços!V4/preços!V3 - 1,0)</f>
        <v>0</v>
      </c>
      <c r="Z3" s="7">
        <f>IF(AND(preços!W4&lt;&gt;0,preços!W3&lt;&gt;0),preços!W4/preços!W3 - 1,0)</f>
        <v>0</v>
      </c>
      <c r="AA3" s="7">
        <f>IF(AND(preços!X4&lt;&gt;0,preços!X3&lt;&gt;0),preços!X4/preços!X3 - 1,0)</f>
        <v>0</v>
      </c>
      <c r="AB3" s="7">
        <f>IF(AND(preços!Y4&lt;&gt;0,preços!Y3&lt;&gt;0),preços!Y4/preços!Y3 - 1,0)</f>
        <v>0</v>
      </c>
      <c r="AC3" s="7">
        <f>IF(AND(preços!Z4&lt;&gt;0,preços!Z3&lt;&gt;0),preços!Z4/preços!Z3 - 1,0)</f>
        <v>0</v>
      </c>
      <c r="AD3" s="7">
        <f>IF(AND(preços!AA4&lt;&gt;0,preços!AA3&lt;&gt;0),preços!AA4/preços!AA3 - 1,0)</f>
        <v>0</v>
      </c>
      <c r="AE3" s="7">
        <f>IF(AND(preços!AB4&lt;&gt;0,preços!AB3&lt;&gt;0),preços!AB4/preços!AB3 - 1,0)</f>
        <v>0</v>
      </c>
      <c r="AF3" s="7">
        <f>IF(AND(preços!AC4&lt;&gt;0,preços!AC3&lt;&gt;0),preços!AC4/preços!AC3 - 1,0)</f>
        <v>0</v>
      </c>
      <c r="AG3" s="7">
        <f>IF(AND(preços!AD4&lt;&gt;0,preços!AD3&lt;&gt;0),preços!AD4/preços!AD3 - 1,0)</f>
        <v>0</v>
      </c>
      <c r="AH3" s="7">
        <f>IF(AND(preços!AE4&lt;&gt;0,preços!AE3&lt;&gt;0),preços!AE4/preços!AE3 - 1,0)</f>
        <v>0</v>
      </c>
      <c r="AI3" s="7">
        <f>IF(AND(preços!AF4&lt;&gt;0,preços!AF3&lt;&gt;0),preços!AF4/preços!AF3 - 1,0)</f>
        <v>0</v>
      </c>
      <c r="AJ3" s="7">
        <f>IF(AND(preços!AG4&lt;&gt;0,preços!AG3&lt;&gt;0),preços!AG4/preços!AG3 - 1,0)</f>
        <v>0</v>
      </c>
      <c r="AK3" s="7">
        <f>IF(AND(preços!AH4&lt;&gt;0,preços!AH3&lt;&gt;0),preços!AH4/preços!AH3 - 1,0)</f>
        <v>0</v>
      </c>
      <c r="AL3" s="7">
        <f>IF(AND(preços!AI4&lt;&gt;0,preços!AI3&lt;&gt;0),preços!AI4/preços!AI3 - 1,0)</f>
        <v>0</v>
      </c>
      <c r="AM3" s="7">
        <f>IF(AND(preços!AJ4&lt;&gt;0,preços!AJ3&lt;&gt;0),preços!AJ4/preços!AJ3 - 1,0)</f>
        <v>0</v>
      </c>
      <c r="AN3" s="7">
        <f>IF(AND(preços!AK4&lt;&gt;0,preços!AK3&lt;&gt;0),preços!AK4/preços!AK3 - 1,0)</f>
        <v>0</v>
      </c>
      <c r="AO3" s="7">
        <f>IF(AND(preços!AL4&lt;&gt;0,preços!AL3&lt;&gt;0),preços!AL4/preços!AL3 - 1,0)</f>
        <v>0</v>
      </c>
      <c r="AP3" s="7" cm="1">
        <f t="array" ref="AP3">AcumularA(A3,selic!$A$2:$B$6050)</f>
        <v>0.2558785089956146</v>
      </c>
    </row>
    <row r="4" spans="1:44" x14ac:dyDescent="0.25">
      <c r="A4" s="2">
        <v>2000</v>
      </c>
      <c r="B4" s="7">
        <f t="shared" si="1"/>
        <v>1.7671644997012017</v>
      </c>
      <c r="C4" s="7">
        <f t="shared" si="0"/>
        <v>0</v>
      </c>
      <c r="D4" s="7">
        <f t="shared" si="2"/>
        <v>0.17432542157633946</v>
      </c>
      <c r="E4" s="7">
        <f>IF(AND(preços!B5&lt;&gt;0,preços!B4&lt;&gt;0),preços!B5/preços!B4 - 1,0)</f>
        <v>3.5194805194805197</v>
      </c>
      <c r="F4" s="7">
        <f>IF(AND(preços!C5&lt;&gt;0,preços!C4&lt;&gt;0),preços!C5/preços!C4 - 1,0)</f>
        <v>0</v>
      </c>
      <c r="G4" s="7">
        <f>IF(AND(preços!D5&lt;&gt;0,preços!D4&lt;&gt;0),preços!D5/preços!D4 - 1,0)</f>
        <v>0</v>
      </c>
      <c r="H4" s="7">
        <f>IF(AND(preços!E5&lt;&gt;0,preços!E4&lt;&gt;0),preços!E5/preços!E4 - 1,0)</f>
        <v>1.4444444444444446</v>
      </c>
      <c r="I4" s="7">
        <f>IF(AND(preços!F5&lt;&gt;0,preços!F4&lt;&gt;0),preços!F5/preços!F4 - 1,0)</f>
        <v>0</v>
      </c>
      <c r="J4" s="7">
        <f>IF(AND(preços!G5&lt;&gt;0,preços!G4&lt;&gt;0),preços!G5/preços!G4 - 1,0)</f>
        <v>0</v>
      </c>
      <c r="K4" s="7">
        <f>IF(AND(preços!H5&lt;&gt;0,preços!H4&lt;&gt;0),preços!H5/preços!H4 - 1,0)</f>
        <v>0</v>
      </c>
      <c r="L4" s="7">
        <f>IF(AND(preços!I5&lt;&gt;0,preços!I4&lt;&gt;0),preços!I5/preços!I4 - 1,0)</f>
        <v>0</v>
      </c>
      <c r="M4" s="7">
        <f>IF(AND(preços!J5&lt;&gt;0,preços!J4&lt;&gt;0),preços!J5/preços!J4 - 1,0)</f>
        <v>0</v>
      </c>
      <c r="N4" s="7">
        <f>IF(AND(preços!K5&lt;&gt;0,preços!K4&lt;&gt;0),preços!K5/preços!K4 - 1,0)</f>
        <v>0.23762376237623761</v>
      </c>
      <c r="O4" s="7">
        <f>IF(AND(preços!L5&lt;&gt;0,preços!L4&lt;&gt;0),preços!L5/preços!L4 - 1,0)</f>
        <v>2.8181818181818179</v>
      </c>
      <c r="P4" s="7">
        <f>IF(AND(preços!M5&lt;&gt;0,preços!M4&lt;&gt;0),preços!M5/preços!M4 - 1,0)</f>
        <v>0</v>
      </c>
      <c r="Q4" s="7">
        <f>IF(AND(preços!N5&lt;&gt;0,preços!N4&lt;&gt;0),preços!N5/preços!N4 - 1,0)</f>
        <v>0</v>
      </c>
      <c r="R4" s="7">
        <f>IF(AND(preços!O5&lt;&gt;0,preços!O4&lt;&gt;0),preços!O5/preços!O4 - 1,0)</f>
        <v>0</v>
      </c>
      <c r="S4" s="7">
        <f>IF(AND(preços!P5&lt;&gt;0,preços!P4&lt;&gt;0),preços!P5/preços!P4 - 1,0)</f>
        <v>0</v>
      </c>
      <c r="T4" s="7">
        <f>IF(AND(preços!Q5&lt;&gt;0,preços!Q4&lt;&gt;0),preços!Q5/preços!Q4 - 1,0)</f>
        <v>0.81609195402298851</v>
      </c>
      <c r="U4" s="7">
        <f>IF(AND(preços!R5&lt;&gt;0,preços!R4&lt;&gt;0),preços!R5/preços!R4 - 1,0)</f>
        <v>0</v>
      </c>
      <c r="V4" s="7">
        <f>IF(AND(preços!S5&lt;&gt;0,preços!S4&lt;&gt;0),preços!S5/preços!S4 - 1,0)</f>
        <v>0</v>
      </c>
      <c r="W4" s="7">
        <f>IF(AND(preços!T5&lt;&gt;0,preços!T4&lt;&gt;0),preços!T5/preços!T4 - 1,0)</f>
        <v>0</v>
      </c>
      <c r="X4" s="7">
        <f>IF(AND(preços!U5&lt;&gt;0,preços!U4&lt;&gt;0),preços!U5/preços!U4 - 1,0)</f>
        <v>0</v>
      </c>
      <c r="Y4" s="7">
        <f>IF(AND(preços!V5&lt;&gt;0,preços!V4&lt;&gt;0),preços!V5/preços!V4 - 1,0)</f>
        <v>0</v>
      </c>
      <c r="Z4" s="7">
        <f>IF(AND(preços!W5&lt;&gt;0,preços!W4&lt;&gt;0),preços!W5/preços!W4 - 1,0)</f>
        <v>0</v>
      </c>
      <c r="AA4" s="7">
        <f>IF(AND(preços!X5&lt;&gt;0,preços!X4&lt;&gt;0),preços!X5/preços!X4 - 1,0)</f>
        <v>0</v>
      </c>
      <c r="AB4" s="7">
        <f>IF(AND(preços!Y5&lt;&gt;0,preços!Y4&lt;&gt;0),preços!Y5/preços!Y4 - 1,0)</f>
        <v>0</v>
      </c>
      <c r="AC4" s="7">
        <f>IF(AND(preços!Z5&lt;&gt;0,preços!Z4&lt;&gt;0),preços!Z5/preços!Z4 - 1,0)</f>
        <v>0</v>
      </c>
      <c r="AD4" s="7">
        <f>IF(AND(preços!AA5&lt;&gt;0,preços!AA4&lt;&gt;0),preços!AA5/preços!AA4 - 1,0)</f>
        <v>0</v>
      </c>
      <c r="AE4" s="7">
        <f>IF(AND(preços!AB5&lt;&gt;0,preços!AB4&lt;&gt;0),preços!AB5/preços!AB4 - 1,0)</f>
        <v>0</v>
      </c>
      <c r="AF4" s="7">
        <f>IF(AND(preços!AC5&lt;&gt;0,preços!AC4&lt;&gt;0),preços!AC5/preços!AC4 - 1,0)</f>
        <v>0</v>
      </c>
      <c r="AG4" s="7">
        <f>IF(AND(preços!AD5&lt;&gt;0,preços!AD4&lt;&gt;0),preços!AD5/preços!AD4 - 1,0)</f>
        <v>0</v>
      </c>
      <c r="AH4" s="7">
        <f>IF(AND(preços!AE5&lt;&gt;0,preços!AE4&lt;&gt;0),preços!AE5/preços!AE4 - 1,0)</f>
        <v>0</v>
      </c>
      <c r="AI4" s="7">
        <f>IF(AND(preços!AF5&lt;&gt;0,preços!AF4&lt;&gt;0),preços!AF5/preços!AF4 - 1,0)</f>
        <v>0</v>
      </c>
      <c r="AJ4" s="7">
        <f>IF(AND(preços!AG5&lt;&gt;0,preços!AG4&lt;&gt;0),preços!AG5/preços!AG4 - 1,0)</f>
        <v>0</v>
      </c>
      <c r="AK4" s="7">
        <f>IF(AND(preços!AH5&lt;&gt;0,preços!AH4&lt;&gt;0),preços!AH5/preços!AH4 - 1,0)</f>
        <v>0</v>
      </c>
      <c r="AL4" s="7">
        <f>IF(AND(preços!AI5&lt;&gt;0,preços!AI4&lt;&gt;0),preços!AI5/preços!AI4 - 1,0)</f>
        <v>0</v>
      </c>
      <c r="AM4" s="7">
        <f>IF(AND(preços!AJ5&lt;&gt;0,preços!AJ4&lt;&gt;0),preços!AJ5/preços!AJ4 - 1,0)</f>
        <v>0</v>
      </c>
      <c r="AN4" s="7">
        <f>IF(AND(preços!AK5&lt;&gt;0,preços!AK4&lt;&gt;0),preços!AK5/preços!AK4 - 1,0)</f>
        <v>0</v>
      </c>
      <c r="AO4" s="7">
        <f>IF(AND(preços!AL5&lt;&gt;0,preços!AL4&lt;&gt;0),preços!AL5/preços!AL4 - 1,0)</f>
        <v>0</v>
      </c>
      <c r="AP4" s="7" cm="1">
        <f t="array" ref="AP4">AcumularA(A4,selic!$A$2:$B$6050)</f>
        <v>0.17432542157633946</v>
      </c>
    </row>
    <row r="5" spans="1:44" x14ac:dyDescent="0.25">
      <c r="A5" s="2">
        <v>2001</v>
      </c>
      <c r="B5" s="7">
        <f t="shared" si="1"/>
        <v>0.11052876769407055</v>
      </c>
      <c r="C5" s="7">
        <f t="shared" si="0"/>
        <v>0</v>
      </c>
      <c r="D5" s="7">
        <f t="shared" si="2"/>
        <v>0.17317389169140651</v>
      </c>
      <c r="E5" s="7">
        <f>IF(AND(preços!B6&lt;&gt;0,preços!B5&lt;&gt;0),preços!B6/preços!B5 - 1,0)</f>
        <v>0.60919540229885039</v>
      </c>
      <c r="F5" s="7">
        <f>IF(AND(preços!C6&lt;&gt;0,preços!C5&lt;&gt;0),preços!C6/preços!C5 - 1,0)</f>
        <v>0</v>
      </c>
      <c r="G5" s="7">
        <f>IF(AND(preços!D6&lt;&gt;0,preços!D5&lt;&gt;0),preços!D6/preços!D5 - 1,0)</f>
        <v>0</v>
      </c>
      <c r="H5" s="7">
        <f>IF(AND(preços!E6&lt;&gt;0,preços!E5&lt;&gt;0),preços!E6/preços!E5 - 1,0)</f>
        <v>0.47272727272727266</v>
      </c>
      <c r="I5" s="7">
        <f>IF(AND(preços!F6&lt;&gt;0,preços!F5&lt;&gt;0),preços!F6/preços!F5 - 1,0)</f>
        <v>0</v>
      </c>
      <c r="J5" s="7">
        <f>IF(AND(preços!G6&lt;&gt;0,preços!G5&lt;&gt;0),preços!G6/preços!G5 - 1,0)</f>
        <v>0</v>
      </c>
      <c r="K5" s="7">
        <f>IF(AND(preços!H6&lt;&gt;0,preços!H5&lt;&gt;0),preços!H6/preços!H5 - 1,0)</f>
        <v>0</v>
      </c>
      <c r="L5" s="7">
        <f>IF(AND(preços!I6&lt;&gt;0,preços!I5&lt;&gt;0),preços!I6/preços!I5 - 1,0)</f>
        <v>0</v>
      </c>
      <c r="M5" s="7">
        <f>IF(AND(preços!J6&lt;&gt;0,preços!J5&lt;&gt;0),preços!J6/preços!J5 - 1,0)</f>
        <v>-0.31573941987636711</v>
      </c>
      <c r="N5" s="7">
        <f>IF(AND(preços!K6&lt;&gt;0,preços!K5&lt;&gt;0),preços!K6/preços!K5 - 1,0)</f>
        <v>8.0000000000000071E-3</v>
      </c>
      <c r="O5" s="7">
        <f>IF(AND(preços!L6&lt;&gt;0,preços!L5&lt;&gt;0),preços!L6/preços!L5 - 1,0)</f>
        <v>-7.9365079365079416E-2</v>
      </c>
      <c r="P5" s="7">
        <f>IF(AND(preços!M6&lt;&gt;0,preços!M5&lt;&gt;0),preços!M6/preços!M5 - 1,0)</f>
        <v>0</v>
      </c>
      <c r="Q5" s="7">
        <f>IF(AND(preços!N6&lt;&gt;0,preços!N5&lt;&gt;0),preços!N6/preços!N5 - 1,0)</f>
        <v>0</v>
      </c>
      <c r="R5" s="7">
        <f>IF(AND(preços!O6&lt;&gt;0,preços!O5&lt;&gt;0),preços!O6/preços!O5 - 1,0)</f>
        <v>0</v>
      </c>
      <c r="S5" s="7">
        <f>IF(AND(preços!P6&lt;&gt;0,preços!P5&lt;&gt;0),preços!P6/preços!P5 - 1,0)</f>
        <v>0</v>
      </c>
      <c r="T5" s="7">
        <f>IF(AND(preços!Q6&lt;&gt;0,preços!Q5&lt;&gt;0),preços!Q6/preços!Q5 - 1,0)</f>
        <v>-3.1645569620253222E-2</v>
      </c>
      <c r="U5" s="7">
        <f>IF(AND(preços!R6&lt;&gt;0,preços!R5&lt;&gt;0),preços!R6/preços!R5 - 1,0)</f>
        <v>0</v>
      </c>
      <c r="V5" s="7">
        <f>IF(AND(preços!S6&lt;&gt;0,preços!S5&lt;&gt;0),preços!S6/preços!S5 - 1,0)</f>
        <v>0</v>
      </c>
      <c r="W5" s="7">
        <f>IF(AND(preços!T6&lt;&gt;0,preços!T5&lt;&gt;0),preços!T6/preços!T5 - 1,0)</f>
        <v>0</v>
      </c>
      <c r="X5" s="7">
        <f>IF(AND(preços!U6&lt;&gt;0,preços!U5&lt;&gt;0),preços!U6/preços!U5 - 1,0)</f>
        <v>0</v>
      </c>
      <c r="Y5" s="7">
        <f>IF(AND(preços!V6&lt;&gt;0,preços!V5&lt;&gt;0),preços!V6/preços!V5 - 1,0)</f>
        <v>0</v>
      </c>
      <c r="Z5" s="7">
        <f>IF(AND(preços!W6&lt;&gt;0,preços!W5&lt;&gt;0),preços!W6/preços!W5 - 1,0)</f>
        <v>0</v>
      </c>
      <c r="AA5" s="7">
        <f>IF(AND(preços!X6&lt;&gt;0,preços!X5&lt;&gt;0),preços!X6/preços!X5 - 1,0)</f>
        <v>0</v>
      </c>
      <c r="AB5" s="7">
        <f>IF(AND(preços!Y6&lt;&gt;0,preços!Y5&lt;&gt;0),preços!Y6/preços!Y5 - 1,0)</f>
        <v>0</v>
      </c>
      <c r="AC5" s="7">
        <f>IF(AND(preços!Z6&lt;&gt;0,preços!Z5&lt;&gt;0),preços!Z6/preços!Z5 - 1,0)</f>
        <v>0</v>
      </c>
      <c r="AD5" s="7">
        <f>IF(AND(preços!AA6&lt;&gt;0,preços!AA5&lt;&gt;0),preços!AA6/preços!AA5 - 1,0)</f>
        <v>0</v>
      </c>
      <c r="AE5" s="7">
        <f>IF(AND(preços!AB6&lt;&gt;0,preços!AB5&lt;&gt;0),preços!AB6/preços!AB5 - 1,0)</f>
        <v>0</v>
      </c>
      <c r="AF5" s="7">
        <f>IF(AND(preços!AC6&lt;&gt;0,preços!AC5&lt;&gt;0),preços!AC6/preços!AC5 - 1,0)</f>
        <v>0</v>
      </c>
      <c r="AG5" s="7">
        <f>IF(AND(preços!AD6&lt;&gt;0,preços!AD5&lt;&gt;0),preços!AD6/preços!AD5 - 1,0)</f>
        <v>0</v>
      </c>
      <c r="AH5" s="7">
        <f>IF(AND(preços!AE6&lt;&gt;0,preços!AE5&lt;&gt;0),preços!AE6/preços!AE5 - 1,0)</f>
        <v>0</v>
      </c>
      <c r="AI5" s="7">
        <f>IF(AND(preços!AF6&lt;&gt;0,preços!AF5&lt;&gt;0),preços!AF6/preços!AF5 - 1,0)</f>
        <v>0</v>
      </c>
      <c r="AJ5" s="7">
        <f>IF(AND(preços!AG6&lt;&gt;0,preços!AG5&lt;&gt;0),preços!AG6/preços!AG5 - 1,0)</f>
        <v>0</v>
      </c>
      <c r="AK5" s="7">
        <f>IF(AND(preços!AH6&lt;&gt;0,preços!AH5&lt;&gt;0),preços!AH6/preços!AH5 - 1,0)</f>
        <v>0</v>
      </c>
      <c r="AL5" s="7">
        <f>IF(AND(preços!AI6&lt;&gt;0,preços!AI5&lt;&gt;0),preços!AI6/preços!AI5 - 1,0)</f>
        <v>0</v>
      </c>
      <c r="AM5" s="7">
        <f>IF(AND(preços!AJ6&lt;&gt;0,preços!AJ5&lt;&gt;0),preços!AJ6/preços!AJ5 - 1,0)</f>
        <v>0</v>
      </c>
      <c r="AN5" s="7">
        <f>IF(AND(preços!AK6&lt;&gt;0,preços!AK5&lt;&gt;0),preços!AK6/preços!AK5 - 1,0)</f>
        <v>0</v>
      </c>
      <c r="AO5" s="7">
        <f>IF(AND(preços!AL6&lt;&gt;0,preços!AL5&lt;&gt;0),preços!AL6/preços!AL5 - 1,0)</f>
        <v>0</v>
      </c>
      <c r="AP5" s="7" cm="1">
        <f t="array" ref="AP5">AcumularA(A5,selic!$A$2:$B$6050)</f>
        <v>0.17317389169140651</v>
      </c>
    </row>
    <row r="6" spans="1:44" x14ac:dyDescent="0.25">
      <c r="A6" s="2">
        <v>2002</v>
      </c>
      <c r="B6" s="7">
        <f t="shared" si="1"/>
        <v>-3.1642628639767988E-2</v>
      </c>
      <c r="C6" s="7">
        <f t="shared" si="0"/>
        <v>0</v>
      </c>
      <c r="D6" s="7">
        <f t="shared" si="2"/>
        <v>0.19173057956341077</v>
      </c>
      <c r="E6" s="7">
        <f>IF(AND(preços!B7&lt;&gt;0,preços!B6&lt;&gt;0),preços!B7/preços!B6 - 1,0)</f>
        <v>-9.4642857142857029E-2</v>
      </c>
      <c r="F6" s="7">
        <f>IF(AND(preços!C7&lt;&gt;0,preços!C6&lt;&gt;0),preços!C7/preços!C6 - 1,0)</f>
        <v>0</v>
      </c>
      <c r="G6" s="7">
        <f>IF(AND(preços!D7&lt;&gt;0,preços!D6&lt;&gt;0),preços!D7/preços!D6 - 1,0)</f>
        <v>0</v>
      </c>
      <c r="H6" s="7">
        <f>IF(AND(preços!E7&lt;&gt;0,preços!E6&lt;&gt;0),preços!E7/preços!E6 - 1,0)</f>
        <v>-7.4074074074074181E-2</v>
      </c>
      <c r="I6" s="7">
        <f>IF(AND(preços!F7&lt;&gt;0,preços!F6&lt;&gt;0),preços!F7/preços!F6 - 1,0)</f>
        <v>0</v>
      </c>
      <c r="J6" s="7">
        <f>IF(AND(preços!G7&lt;&gt;0,preços!G6&lt;&gt;0),preços!G7/preços!G6 - 1,0)</f>
        <v>0</v>
      </c>
      <c r="K6" s="7">
        <f>IF(AND(preços!H7&lt;&gt;0,preços!H6&lt;&gt;0),preços!H7/preços!H6 - 1,0)</f>
        <v>0</v>
      </c>
      <c r="L6" s="7">
        <f>IF(AND(preços!I7&lt;&gt;0,preços!I6&lt;&gt;0),preços!I7/preços!I6 - 1,0)</f>
        <v>0</v>
      </c>
      <c r="M6" s="7">
        <f>IF(AND(preços!J7&lt;&gt;0,preços!J6&lt;&gt;0),preços!J7/preços!J6 - 1,0)</f>
        <v>-0.23071577484364147</v>
      </c>
      <c r="N6" s="7">
        <f>IF(AND(preços!K7&lt;&gt;0,preços!K6&lt;&gt;0),preços!K7/preços!K6 - 1,0)</f>
        <v>0.13492063492063489</v>
      </c>
      <c r="O6" s="7">
        <f>IF(AND(preços!L7&lt;&gt;0,preços!L6&lt;&gt;0),preços!L7/preços!L6 - 1,0)</f>
        <v>0.14655172413793127</v>
      </c>
      <c r="P6" s="7">
        <f>IF(AND(preços!M7&lt;&gt;0,preços!M6&lt;&gt;0),preços!M7/preços!M6 - 1,0)</f>
        <v>0</v>
      </c>
      <c r="Q6" s="7">
        <f>IF(AND(preços!N7&lt;&gt;0,preços!N6&lt;&gt;0),preços!N7/preços!N6 - 1,0)</f>
        <v>0</v>
      </c>
      <c r="R6" s="7">
        <f>IF(AND(preços!O7&lt;&gt;0,preços!O6&lt;&gt;0),preços!O7/preços!O6 - 1,0)</f>
        <v>0</v>
      </c>
      <c r="S6" s="7">
        <f>IF(AND(preços!P7&lt;&gt;0,preços!P6&lt;&gt;0),preços!P7/preços!P6 - 1,0)</f>
        <v>0</v>
      </c>
      <c r="T6" s="7">
        <f>IF(AND(preços!Q7&lt;&gt;0,preços!Q6&lt;&gt;0),preços!Q7/preços!Q6 - 1,0)</f>
        <v>-7.1895424836601385E-2</v>
      </c>
      <c r="U6" s="7">
        <f>IF(AND(preços!R7&lt;&gt;0,preços!R6&lt;&gt;0),preços!R7/preços!R6 - 1,0)</f>
        <v>0</v>
      </c>
      <c r="V6" s="7">
        <f>IF(AND(preços!S7&lt;&gt;0,preços!S6&lt;&gt;0),preços!S7/preços!S6 - 1,0)</f>
        <v>0</v>
      </c>
      <c r="W6" s="7">
        <f>IF(AND(preços!T7&lt;&gt;0,preços!T6&lt;&gt;0),preços!T7/preços!T6 - 1,0)</f>
        <v>0</v>
      </c>
      <c r="X6" s="7">
        <f>IF(AND(preços!U7&lt;&gt;0,preços!U6&lt;&gt;0),preços!U7/preços!U6 - 1,0)</f>
        <v>0</v>
      </c>
      <c r="Y6" s="7">
        <f>IF(AND(preços!V7&lt;&gt;0,preços!V6&lt;&gt;0),preços!V7/preços!V6 - 1,0)</f>
        <v>0</v>
      </c>
      <c r="Z6" s="7">
        <f>IF(AND(preços!W7&lt;&gt;0,preços!W6&lt;&gt;0),preços!W7/preços!W6 - 1,0)</f>
        <v>0</v>
      </c>
      <c r="AA6" s="7">
        <f>IF(AND(preços!X7&lt;&gt;0,preços!X6&lt;&gt;0),preços!X7/preços!X6 - 1,0)</f>
        <v>0</v>
      </c>
      <c r="AB6" s="7">
        <f>IF(AND(preços!Y7&lt;&gt;0,preços!Y6&lt;&gt;0),preços!Y7/preços!Y6 - 1,0)</f>
        <v>0</v>
      </c>
      <c r="AC6" s="7">
        <f>IF(AND(preços!Z7&lt;&gt;0,preços!Z6&lt;&gt;0),preços!Z7/preços!Z6 - 1,0)</f>
        <v>0</v>
      </c>
      <c r="AD6" s="7">
        <f>IF(AND(preços!AA7&lt;&gt;0,preços!AA6&lt;&gt;0),preços!AA7/preços!AA6 - 1,0)</f>
        <v>0</v>
      </c>
      <c r="AE6" s="7">
        <f>IF(AND(preços!AB7&lt;&gt;0,preços!AB6&lt;&gt;0),preços!AB7/preços!AB6 - 1,0)</f>
        <v>0</v>
      </c>
      <c r="AF6" s="7">
        <f>IF(AND(preços!AC7&lt;&gt;0,preços!AC6&lt;&gt;0),preços!AC7/preços!AC6 - 1,0)</f>
        <v>0</v>
      </c>
      <c r="AG6" s="7">
        <f>IF(AND(preços!AD7&lt;&gt;0,preços!AD6&lt;&gt;0),preços!AD7/preços!AD6 - 1,0)</f>
        <v>0</v>
      </c>
      <c r="AH6" s="7">
        <f>IF(AND(preços!AE7&lt;&gt;0,preços!AE6&lt;&gt;0),preços!AE7/preços!AE6 - 1,0)</f>
        <v>0</v>
      </c>
      <c r="AI6" s="7">
        <f>IF(AND(preços!AF7&lt;&gt;0,preços!AF6&lt;&gt;0),preços!AF7/preços!AF6 - 1,0)</f>
        <v>0</v>
      </c>
      <c r="AJ6" s="7">
        <f>IF(AND(preços!AG7&lt;&gt;0,preços!AG6&lt;&gt;0),preços!AG7/preços!AG6 - 1,0)</f>
        <v>0</v>
      </c>
      <c r="AK6" s="7">
        <f>IF(AND(preços!AH7&lt;&gt;0,preços!AH6&lt;&gt;0),preços!AH7/preços!AH6 - 1,0)</f>
        <v>0</v>
      </c>
      <c r="AL6" s="7">
        <f>IF(AND(preços!AI7&lt;&gt;0,preços!AI6&lt;&gt;0),preços!AI7/preços!AI6 - 1,0)</f>
        <v>0</v>
      </c>
      <c r="AM6" s="7">
        <f>IF(AND(preços!AJ7&lt;&gt;0,preços!AJ6&lt;&gt;0),preços!AJ7/preços!AJ6 - 1,0)</f>
        <v>0</v>
      </c>
      <c r="AN6" s="7">
        <f>IF(AND(preços!AK7&lt;&gt;0,preços!AK6&lt;&gt;0),preços!AK7/preços!AK6 - 1,0)</f>
        <v>0</v>
      </c>
      <c r="AO6" s="7">
        <f>IF(AND(preços!AL7&lt;&gt;0,preços!AL6&lt;&gt;0),preços!AL7/preços!AL6 - 1,0)</f>
        <v>0</v>
      </c>
      <c r="AP6" s="7" cm="1">
        <f t="array" ref="AP6">AcumularA(A6,selic!$A$2:$B$6050)</f>
        <v>0.19173057956341077</v>
      </c>
    </row>
    <row r="7" spans="1:44" x14ac:dyDescent="0.25">
      <c r="A7" s="2">
        <v>2003</v>
      </c>
      <c r="B7" s="7">
        <f t="shared" si="1"/>
        <v>5.4375298930684955E-2</v>
      </c>
      <c r="C7" s="7">
        <f t="shared" si="0"/>
        <v>0</v>
      </c>
      <c r="D7" s="7">
        <f t="shared" si="2"/>
        <v>0.23345452004126122</v>
      </c>
      <c r="E7" s="7">
        <f>IF(AND(preços!B8&lt;&gt;0,preços!B7&lt;&gt;0),preços!B8/preços!B7 - 1,0)</f>
        <v>4.5364891518737682E-2</v>
      </c>
      <c r="F7" s="7">
        <f>IF(AND(preços!C8&lt;&gt;0,preços!C7&lt;&gt;0),preços!C8/preços!C7 - 1,0)</f>
        <v>0</v>
      </c>
      <c r="G7" s="7">
        <f>IF(AND(preços!D8&lt;&gt;0,preços!D7&lt;&gt;0),preços!D8/preços!D7 - 1,0)</f>
        <v>0</v>
      </c>
      <c r="H7" s="7">
        <f>IF(AND(preços!E8&lt;&gt;0,preços!E7&lt;&gt;0),preços!E8/preços!E7 - 1,0)</f>
        <v>-0.14000000000000001</v>
      </c>
      <c r="I7" s="7">
        <f>IF(AND(preços!F8&lt;&gt;0,preços!F7&lt;&gt;0),preços!F8/preços!F7 - 1,0)</f>
        <v>0</v>
      </c>
      <c r="J7" s="7">
        <f>IF(AND(preços!G8&lt;&gt;0,preços!G7&lt;&gt;0),preços!G8/preços!G7 - 1,0)</f>
        <v>0</v>
      </c>
      <c r="K7" s="7">
        <f>IF(AND(preços!H8&lt;&gt;0,preços!H7&lt;&gt;0),preços!H8/preços!H7 - 1,0)</f>
        <v>0</v>
      </c>
      <c r="L7" s="7">
        <f>IF(AND(preços!I8&lt;&gt;0,preços!I7&lt;&gt;0),preços!I8/preços!I7 - 1,0)</f>
        <v>0</v>
      </c>
      <c r="M7" s="7">
        <f>IF(AND(preços!J8&lt;&gt;0,preços!J7&lt;&gt;0),preços!J8/preços!J7 - 1,0)</f>
        <v>0.12195121951219501</v>
      </c>
      <c r="N7" s="7">
        <f>IF(AND(preços!K8&lt;&gt;0,preços!K7&lt;&gt;0),preços!K8/preços!K7 - 1,0)</f>
        <v>6.9930069930070005E-2</v>
      </c>
      <c r="O7" s="7">
        <f>IF(AND(preços!L8&lt;&gt;0,preços!L7&lt;&gt;0),preços!L8/preços!L7 - 1,0)</f>
        <v>0.39097744360902253</v>
      </c>
      <c r="P7" s="7">
        <f>IF(AND(preços!M8&lt;&gt;0,preços!M7&lt;&gt;0),preços!M8/preços!M7 - 1,0)</f>
        <v>0</v>
      </c>
      <c r="Q7" s="7">
        <f>IF(AND(preços!N8&lt;&gt;0,preços!N7&lt;&gt;0),preços!N8/preços!N7 - 1,0)</f>
        <v>0</v>
      </c>
      <c r="R7" s="7">
        <f>IF(AND(preços!O8&lt;&gt;0,preços!O7&lt;&gt;0),preços!O8/preços!O7 - 1,0)</f>
        <v>0</v>
      </c>
      <c r="S7" s="7">
        <f>IF(AND(preços!P8&lt;&gt;0,preços!P7&lt;&gt;0),preços!P8/preços!P7 - 1,0)</f>
        <v>0</v>
      </c>
      <c r="T7" s="7">
        <f>IF(AND(preços!Q8&lt;&gt;0,preços!Q7&lt;&gt;0),preços!Q8/preços!Q7 - 1,0)</f>
        <v>-0.1619718309859155</v>
      </c>
      <c r="U7" s="7">
        <f>IF(AND(preços!R8&lt;&gt;0,preços!R7&lt;&gt;0),preços!R8/preços!R7 - 1,0)</f>
        <v>0</v>
      </c>
      <c r="V7" s="7">
        <f>IF(AND(preços!S8&lt;&gt;0,preços!S7&lt;&gt;0),preços!S8/preços!S7 - 1,0)</f>
        <v>0</v>
      </c>
      <c r="W7" s="7">
        <f>IF(AND(preços!T8&lt;&gt;0,preços!T7&lt;&gt;0),preços!T8/preços!T7 - 1,0)</f>
        <v>0</v>
      </c>
      <c r="X7" s="7">
        <f>IF(AND(preços!U8&lt;&gt;0,preços!U7&lt;&gt;0),preços!U8/preços!U7 - 1,0)</f>
        <v>0</v>
      </c>
      <c r="Y7" s="7">
        <f>IF(AND(preços!V8&lt;&gt;0,preços!V7&lt;&gt;0),preços!V8/preços!V7 - 1,0)</f>
        <v>0</v>
      </c>
      <c r="Z7" s="7">
        <f>IF(AND(preços!W8&lt;&gt;0,preços!W7&lt;&gt;0),preços!W8/preços!W7 - 1,0)</f>
        <v>0</v>
      </c>
      <c r="AA7" s="7">
        <f>IF(AND(preços!X8&lt;&gt;0,preços!X7&lt;&gt;0),preços!X8/preços!X7 - 1,0)</f>
        <v>0</v>
      </c>
      <c r="AB7" s="7">
        <f>IF(AND(preços!Y8&lt;&gt;0,preços!Y7&lt;&gt;0),preços!Y8/preços!Y7 - 1,0)</f>
        <v>0</v>
      </c>
      <c r="AC7" s="7">
        <f>IF(AND(preços!Z8&lt;&gt;0,preços!Z7&lt;&gt;0),preços!Z8/preços!Z7 - 1,0)</f>
        <v>0</v>
      </c>
      <c r="AD7" s="7">
        <f>IF(AND(preços!AA8&lt;&gt;0,preços!AA7&lt;&gt;0),preços!AA8/preços!AA7 - 1,0)</f>
        <v>0</v>
      </c>
      <c r="AE7" s="7">
        <f>IF(AND(preços!AB8&lt;&gt;0,preços!AB7&lt;&gt;0),preços!AB8/preços!AB7 - 1,0)</f>
        <v>0</v>
      </c>
      <c r="AF7" s="7">
        <f>IF(AND(preços!AC8&lt;&gt;0,preços!AC7&lt;&gt;0),preços!AC8/preços!AC7 - 1,0)</f>
        <v>0</v>
      </c>
      <c r="AG7" s="7">
        <f>IF(AND(preços!AD8&lt;&gt;0,preços!AD7&lt;&gt;0),preços!AD8/preços!AD7 - 1,0)</f>
        <v>0</v>
      </c>
      <c r="AH7" s="7">
        <f>IF(AND(preços!AE8&lt;&gt;0,preços!AE7&lt;&gt;0),preços!AE8/preços!AE7 - 1,0)</f>
        <v>0</v>
      </c>
      <c r="AI7" s="7">
        <f>IF(AND(preços!AF8&lt;&gt;0,preços!AF7&lt;&gt;0),preços!AF8/preços!AF7 - 1,0)</f>
        <v>0</v>
      </c>
      <c r="AJ7" s="7">
        <f>IF(AND(preços!AG8&lt;&gt;0,preços!AG7&lt;&gt;0),preços!AG8/preços!AG7 - 1,0)</f>
        <v>0</v>
      </c>
      <c r="AK7" s="7">
        <f>IF(AND(preços!AH8&lt;&gt;0,preços!AH7&lt;&gt;0),preços!AH8/preços!AH7 - 1,0)</f>
        <v>0</v>
      </c>
      <c r="AL7" s="7">
        <f>IF(AND(preços!AI8&lt;&gt;0,preços!AI7&lt;&gt;0),preços!AI8/preços!AI7 - 1,0)</f>
        <v>0</v>
      </c>
      <c r="AM7" s="7">
        <f>IF(AND(preços!AJ8&lt;&gt;0,preços!AJ7&lt;&gt;0),preços!AJ8/preços!AJ7 - 1,0)</f>
        <v>0</v>
      </c>
      <c r="AN7" s="7">
        <f>IF(AND(preços!AK8&lt;&gt;0,preços!AK7&lt;&gt;0),preços!AK8/preços!AK7 - 1,0)</f>
        <v>0</v>
      </c>
      <c r="AO7" s="7">
        <f>IF(AND(preços!AL8&lt;&gt;0,preços!AL7&lt;&gt;0),preços!AL8/preços!AL7 - 1,0)</f>
        <v>0</v>
      </c>
      <c r="AP7" s="7" cm="1">
        <f t="array" ref="AP7">AcumularA(A7,selic!$A$2:$B$6050)</f>
        <v>0.23345452004126122</v>
      </c>
    </row>
    <row r="8" spans="1:44" x14ac:dyDescent="0.25">
      <c r="A8" s="2">
        <v>2004</v>
      </c>
      <c r="B8" s="7">
        <f t="shared" si="1"/>
        <v>0.74940544283079091</v>
      </c>
      <c r="C8" s="7">
        <f t="shared" si="0"/>
        <v>0</v>
      </c>
      <c r="D8" s="7">
        <f t="shared" si="2"/>
        <v>0.16246292360819958</v>
      </c>
      <c r="E8" s="7">
        <f>IF(AND(preços!B9&lt;&gt;0,preços!B8&lt;&gt;0),preços!B9/preços!B8 - 1,0)</f>
        <v>0.63962264150943393</v>
      </c>
      <c r="F8" s="7">
        <f>IF(AND(preços!C9&lt;&gt;0,preços!C8&lt;&gt;0),preços!C9/preços!C8 - 1,0)</f>
        <v>1</v>
      </c>
      <c r="G8" s="7">
        <f>IF(AND(preços!D9&lt;&gt;0,preços!D8&lt;&gt;0),preços!D9/preços!D8 - 1,0)</f>
        <v>0</v>
      </c>
      <c r="H8" s="7">
        <f>IF(AND(preços!E9&lt;&gt;0,preços!E8&lt;&gt;0),preços!E9/preços!E8 - 1,0)</f>
        <v>0.72868217054263562</v>
      </c>
      <c r="I8" s="7">
        <f>IF(AND(preços!F9&lt;&gt;0,preços!F8&lt;&gt;0),preços!F9/preços!F8 - 1,0)</f>
        <v>0</v>
      </c>
      <c r="J8" s="7">
        <f>IF(AND(preços!G9&lt;&gt;0,preços!G8&lt;&gt;0),preços!G9/preços!G8 - 1,0)</f>
        <v>0</v>
      </c>
      <c r="K8" s="7">
        <f>IF(AND(preços!H9&lt;&gt;0,preços!H8&lt;&gt;0),preços!H9/preços!H8 - 1,0)</f>
        <v>0</v>
      </c>
      <c r="L8" s="7">
        <f>IF(AND(preços!I9&lt;&gt;0,preços!I8&lt;&gt;0),preços!I9/preços!I8 - 1,0)</f>
        <v>0</v>
      </c>
      <c r="M8" s="7">
        <f>IF(AND(preços!J9&lt;&gt;0,preços!J8&lt;&gt;0),preços!J9/preços!J8 - 1,0)</f>
        <v>0.44605475040257647</v>
      </c>
      <c r="N8" s="7">
        <f>IF(AND(preços!K9&lt;&gt;0,preços!K8&lt;&gt;0),preços!K9/preços!K8 - 1,0)</f>
        <v>1.1176470588235294</v>
      </c>
      <c r="O8" s="7">
        <f>IF(AND(preços!L9&lt;&gt;0,preços!L8&lt;&gt;0),preços!L9/preços!L8 - 1,0)</f>
        <v>0.84324324324324329</v>
      </c>
      <c r="P8" s="7">
        <f>IF(AND(preços!M9&lt;&gt;0,preços!M8&lt;&gt;0),preços!M9/preços!M8 - 1,0)</f>
        <v>0</v>
      </c>
      <c r="Q8" s="7">
        <f>IF(AND(preços!N9&lt;&gt;0,preços!N8&lt;&gt;0),preços!N9/preços!N8 - 1,0)</f>
        <v>0</v>
      </c>
      <c r="R8" s="7">
        <f>IF(AND(preços!O9&lt;&gt;0,preços!O8&lt;&gt;0),preços!O9/preços!O8 - 1,0)</f>
        <v>0</v>
      </c>
      <c r="S8" s="7">
        <f>IF(AND(preços!P9&lt;&gt;0,preços!P8&lt;&gt;0),preços!P9/preços!P8 - 1,0)</f>
        <v>0</v>
      </c>
      <c r="T8" s="7">
        <f>IF(AND(preços!Q9&lt;&gt;0,preços!Q8&lt;&gt;0),preços!Q9/preços!Q8 - 1,0)</f>
        <v>0.47058823529411775</v>
      </c>
      <c r="U8" s="7">
        <f>IF(AND(preços!R9&lt;&gt;0,preços!R8&lt;&gt;0),preços!R9/preços!R8 - 1,0)</f>
        <v>0</v>
      </c>
      <c r="V8" s="7">
        <f>IF(AND(preços!S9&lt;&gt;0,preços!S8&lt;&gt;0),preços!S9/preços!S8 - 1,0)</f>
        <v>0</v>
      </c>
      <c r="W8" s="7">
        <f>IF(AND(preços!T9&lt;&gt;0,preços!T8&lt;&gt;0),preços!T9/preços!T8 - 1,0)</f>
        <v>0</v>
      </c>
      <c r="X8" s="7">
        <f>IF(AND(preços!U9&lt;&gt;0,preços!U8&lt;&gt;0),preços!U9/preços!U8 - 1,0)</f>
        <v>0</v>
      </c>
      <c r="Y8" s="7">
        <f>IF(AND(preços!V9&lt;&gt;0,preços!V8&lt;&gt;0),preços!V9/preços!V8 - 1,0)</f>
        <v>0</v>
      </c>
      <c r="Z8" s="7">
        <f>IF(AND(preços!W9&lt;&gt;0,preços!W8&lt;&gt;0),preços!W9/preços!W8 - 1,0)</f>
        <v>0</v>
      </c>
      <c r="AA8" s="7">
        <f>IF(AND(preços!X9&lt;&gt;0,preços!X8&lt;&gt;0),preços!X9/preços!X8 - 1,0)</f>
        <v>0</v>
      </c>
      <c r="AB8" s="7">
        <f>IF(AND(preços!Y9&lt;&gt;0,preços!Y8&lt;&gt;0),preços!Y9/preços!Y8 - 1,0)</f>
        <v>0</v>
      </c>
      <c r="AC8" s="7">
        <f>IF(AND(preços!Z9&lt;&gt;0,preços!Z8&lt;&gt;0),preços!Z9/preços!Z8 - 1,0)</f>
        <v>0</v>
      </c>
      <c r="AD8" s="7">
        <f>IF(AND(preços!AA9&lt;&gt;0,preços!AA8&lt;&gt;0),preços!AA9/preços!AA8 - 1,0)</f>
        <v>0</v>
      </c>
      <c r="AE8" s="7">
        <f>IF(AND(preços!AB9&lt;&gt;0,preços!AB8&lt;&gt;0),preços!AB9/preços!AB8 - 1,0)</f>
        <v>0</v>
      </c>
      <c r="AF8" s="7">
        <f>IF(AND(preços!AC9&lt;&gt;0,preços!AC8&lt;&gt;0),preços!AC9/preços!AC8 - 1,0)</f>
        <v>0</v>
      </c>
      <c r="AG8" s="7">
        <f>IF(AND(preços!AD9&lt;&gt;0,preços!AD8&lt;&gt;0),preços!AD9/preços!AD8 - 1,0)</f>
        <v>0</v>
      </c>
      <c r="AH8" s="7">
        <f>IF(AND(preços!AE9&lt;&gt;0,preços!AE8&lt;&gt;0),preços!AE9/preços!AE8 - 1,0)</f>
        <v>0</v>
      </c>
      <c r="AI8" s="7">
        <f>IF(AND(preços!AF9&lt;&gt;0,preços!AF8&lt;&gt;0),preços!AF9/preços!AF8 - 1,0)</f>
        <v>0</v>
      </c>
      <c r="AJ8" s="7">
        <f>IF(AND(preços!AG9&lt;&gt;0,preços!AG8&lt;&gt;0),preços!AG9/preços!AG8 - 1,0)</f>
        <v>0</v>
      </c>
      <c r="AK8" s="7">
        <f>IF(AND(preços!AH9&lt;&gt;0,preços!AH8&lt;&gt;0),preços!AH9/preços!AH8 - 1,0)</f>
        <v>0</v>
      </c>
      <c r="AL8" s="7">
        <f>IF(AND(preços!AI9&lt;&gt;0,preços!AI8&lt;&gt;0),preços!AI9/preços!AI8 - 1,0)</f>
        <v>0</v>
      </c>
      <c r="AM8" s="7">
        <f>IF(AND(preços!AJ9&lt;&gt;0,preços!AJ8&lt;&gt;0),preços!AJ9/preços!AJ8 - 1,0)</f>
        <v>0</v>
      </c>
      <c r="AN8" s="7">
        <f>IF(AND(preços!AK9&lt;&gt;0,preços!AK8&lt;&gt;0),preços!AK9/preços!AK8 - 1,0)</f>
        <v>0</v>
      </c>
      <c r="AO8" s="7">
        <f>IF(AND(preços!AL9&lt;&gt;0,preços!AL8&lt;&gt;0),preços!AL9/preços!AL8 - 1,0)</f>
        <v>0</v>
      </c>
      <c r="AP8" s="7" cm="1">
        <f t="array" ref="AP8">AcumularA(A8,selic!$A$2:$B$6050)</f>
        <v>0.16246292360819958</v>
      </c>
    </row>
    <row r="9" spans="1:44" x14ac:dyDescent="0.25">
      <c r="A9" s="2">
        <v>2005</v>
      </c>
      <c r="B9" s="7">
        <f t="shared" si="1"/>
        <v>0.49199373206373648</v>
      </c>
      <c r="C9" s="7">
        <f t="shared" si="0"/>
        <v>0</v>
      </c>
      <c r="D9" s="7">
        <f t="shared" si="2"/>
        <v>0.19049811245670378</v>
      </c>
      <c r="E9" s="7">
        <f>IF(AND(preços!B10&lt;&gt;0,preços!B9&lt;&gt;0),preços!B10/preços!B9 - 1,0)</f>
        <v>0.26237054085155376</v>
      </c>
      <c r="F9" s="7">
        <f>IF(AND(preços!C10&lt;&gt;0,preços!C9&lt;&gt;0),preços!C10/preços!C9 - 1,0)</f>
        <v>0</v>
      </c>
      <c r="G9" s="7">
        <f>IF(AND(preços!D10&lt;&gt;0,preços!D9&lt;&gt;0),preços!D10/preços!D9 - 1,0)</f>
        <v>0</v>
      </c>
      <c r="H9" s="7">
        <f>IF(AND(preços!E10&lt;&gt;0,preços!E9&lt;&gt;0),preços!E10/preços!E9 - 1,0)</f>
        <v>0.29596412556053808</v>
      </c>
      <c r="I9" s="7">
        <f>IF(AND(preços!F10&lt;&gt;0,preços!F9&lt;&gt;0),preços!F10/preços!F9 - 1,0)</f>
        <v>0</v>
      </c>
      <c r="J9" s="7">
        <f>IF(AND(preços!G10&lt;&gt;0,preços!G9&lt;&gt;0),preços!G10/preços!G9 - 1,0)</f>
        <v>0</v>
      </c>
      <c r="K9" s="7">
        <f>IF(AND(preços!H10&lt;&gt;0,preços!H9&lt;&gt;0),preços!H10/preços!H9 - 1,0)</f>
        <v>0</v>
      </c>
      <c r="L9" s="7">
        <f>IF(AND(preços!I10&lt;&gt;0,preços!I9&lt;&gt;0),preços!I10/preços!I9 - 1,0)</f>
        <v>0</v>
      </c>
      <c r="M9" s="7">
        <f>IF(AND(preços!J10&lt;&gt;0,preços!J9&lt;&gt;0),preços!J10/preços!J9 - 1,0)</f>
        <v>0.95657015590200434</v>
      </c>
      <c r="N9" s="7">
        <f>IF(AND(preços!K10&lt;&gt;0,preços!K9&lt;&gt;0),preços!K10/preços!K9 - 1,0)</f>
        <v>0.51543209876543195</v>
      </c>
      <c r="O9" s="7">
        <f>IF(AND(preços!L10&lt;&gt;0,preços!L9&lt;&gt;0),preços!L10/preços!L9 - 1,0)</f>
        <v>0.6187683284457477</v>
      </c>
      <c r="P9" s="7">
        <f>IF(AND(preços!M10&lt;&gt;0,preços!M9&lt;&gt;0),preços!M10/preços!M9 - 1,0)</f>
        <v>0</v>
      </c>
      <c r="Q9" s="7">
        <f>IF(AND(preços!N10&lt;&gt;0,preços!N9&lt;&gt;0),preços!N10/preços!N9 - 1,0)</f>
        <v>0</v>
      </c>
      <c r="R9" s="7">
        <f>IF(AND(preços!O10&lt;&gt;0,preços!O9&lt;&gt;0),preços!O10/preços!O9 - 1,0)</f>
        <v>0</v>
      </c>
      <c r="S9" s="7">
        <f>IF(AND(preços!P10&lt;&gt;0,preços!P9&lt;&gt;0),preços!P10/preços!P9 - 1,0)</f>
        <v>0</v>
      </c>
      <c r="T9" s="7">
        <f>IF(AND(preços!Q10&lt;&gt;0,preços!Q9&lt;&gt;0),preços!Q10/preços!Q9 - 1,0)</f>
        <v>0.30285714285714271</v>
      </c>
      <c r="U9" s="7">
        <f>IF(AND(preços!R10&lt;&gt;0,preços!R9&lt;&gt;0),preços!R10/preços!R9 - 1,0)</f>
        <v>0</v>
      </c>
      <c r="V9" s="7">
        <f>IF(AND(preços!S10&lt;&gt;0,preços!S9&lt;&gt;0),preços!S10/preços!S9 - 1,0)</f>
        <v>0</v>
      </c>
      <c r="W9" s="7">
        <f>IF(AND(preços!T10&lt;&gt;0,preços!T9&lt;&gt;0),preços!T10/preços!T9 - 1,0)</f>
        <v>0</v>
      </c>
      <c r="X9" s="7">
        <f>IF(AND(preços!U10&lt;&gt;0,preços!U9&lt;&gt;0),preços!U10/preços!U9 - 1,0)</f>
        <v>0</v>
      </c>
      <c r="Y9" s="7">
        <f>IF(AND(preços!V10&lt;&gt;0,preços!V9&lt;&gt;0),preços!V10/preços!V9 - 1,0)</f>
        <v>0</v>
      </c>
      <c r="Z9" s="7">
        <f>IF(AND(preços!W10&lt;&gt;0,preços!W9&lt;&gt;0),preços!W10/preços!W9 - 1,0)</f>
        <v>0</v>
      </c>
      <c r="AA9" s="7">
        <f>IF(AND(preços!X10&lt;&gt;0,preços!X9&lt;&gt;0),preços!X10/preços!X9 - 1,0)</f>
        <v>0</v>
      </c>
      <c r="AB9" s="7">
        <f>IF(AND(preços!Y10&lt;&gt;0,preços!Y9&lt;&gt;0),preços!Y10/preços!Y9 - 1,0)</f>
        <v>0</v>
      </c>
      <c r="AC9" s="7">
        <f>IF(AND(preços!Z10&lt;&gt;0,preços!Z9&lt;&gt;0),preços!Z10/preços!Z9 - 1,0)</f>
        <v>0</v>
      </c>
      <c r="AD9" s="7">
        <f>IF(AND(preços!AA10&lt;&gt;0,preços!AA9&lt;&gt;0),preços!AA10/preços!AA9 - 1,0)</f>
        <v>0</v>
      </c>
      <c r="AE9" s="7">
        <f>IF(AND(preços!AB10&lt;&gt;0,preços!AB9&lt;&gt;0),preços!AB10/preços!AB9 - 1,0)</f>
        <v>0</v>
      </c>
      <c r="AF9" s="7">
        <f>IF(AND(preços!AC10&lt;&gt;0,preços!AC9&lt;&gt;0),preços!AC10/preços!AC9 - 1,0)</f>
        <v>0</v>
      </c>
      <c r="AG9" s="7">
        <f>IF(AND(preços!AD10&lt;&gt;0,preços!AD9&lt;&gt;0),preços!AD10/preços!AD9 - 1,0)</f>
        <v>0</v>
      </c>
      <c r="AH9" s="7">
        <f>IF(AND(preços!AE10&lt;&gt;0,preços!AE9&lt;&gt;0),preços!AE10/preços!AE9 - 1,0)</f>
        <v>0</v>
      </c>
      <c r="AI9" s="7">
        <f>IF(AND(preços!AF10&lt;&gt;0,preços!AF9&lt;&gt;0),preços!AF10/preços!AF9 - 1,0)</f>
        <v>0</v>
      </c>
      <c r="AJ9" s="7">
        <f>IF(AND(preços!AG10&lt;&gt;0,preços!AG9&lt;&gt;0),preços!AG10/preços!AG9 - 1,0)</f>
        <v>0</v>
      </c>
      <c r="AK9" s="7">
        <f>IF(AND(preços!AH10&lt;&gt;0,preços!AH9&lt;&gt;0),preços!AH10/preços!AH9 - 1,0)</f>
        <v>0</v>
      </c>
      <c r="AL9" s="7">
        <f>IF(AND(preços!AI10&lt;&gt;0,preços!AI9&lt;&gt;0),preços!AI10/preços!AI9 - 1,0)</f>
        <v>0</v>
      </c>
      <c r="AM9" s="7">
        <f>IF(AND(preços!AJ10&lt;&gt;0,preços!AJ9&lt;&gt;0),preços!AJ10/preços!AJ9 - 1,0)</f>
        <v>0</v>
      </c>
      <c r="AN9" s="7">
        <f>IF(AND(preços!AK10&lt;&gt;0,preços!AK9&lt;&gt;0),preços!AK10/preços!AK9 - 1,0)</f>
        <v>0</v>
      </c>
      <c r="AO9" s="7">
        <f>IF(AND(preços!AL10&lt;&gt;0,preços!AL9&lt;&gt;0),preços!AL10/preços!AL9 - 1,0)</f>
        <v>0</v>
      </c>
      <c r="AP9" s="7" cm="1">
        <f t="array" ref="AP9">AcumularA(A9,selic!$A$2:$B$6050)</f>
        <v>0.19049811245670378</v>
      </c>
    </row>
    <row r="10" spans="1:44" x14ac:dyDescent="0.25">
      <c r="A10" s="2">
        <v>2006</v>
      </c>
      <c r="B10" s="7">
        <f t="shared" si="1"/>
        <v>0.70375919077597204</v>
      </c>
      <c r="C10" s="7">
        <f t="shared" si="0"/>
        <v>0</v>
      </c>
      <c r="D10" s="7">
        <f t="shared" si="2"/>
        <v>0.15076798769963551</v>
      </c>
      <c r="E10" s="7">
        <f>IF(AND(preços!B11&lt;&gt;0,preços!B10&lt;&gt;0),preços!B11/preços!B10 - 1,0)</f>
        <v>0.92707383773928886</v>
      </c>
      <c r="F10" s="7">
        <f>IF(AND(preços!C11&lt;&gt;0,preços!C10&lt;&gt;0),preços!C11/preços!C10 - 1,0)</f>
        <v>0</v>
      </c>
      <c r="G10" s="7">
        <f>IF(AND(preços!D11&lt;&gt;0,preços!D10&lt;&gt;0),preços!D11/preços!D10 - 1,0)</f>
        <v>0</v>
      </c>
      <c r="H10" s="7">
        <f>IF(AND(preços!E11&lt;&gt;0,preços!E10&lt;&gt;0),preços!E11/preços!E10 - 1,0)</f>
        <v>0.68858131487889263</v>
      </c>
      <c r="I10" s="7">
        <f>IF(AND(preços!F11&lt;&gt;0,preços!F10&lt;&gt;0),preços!F11/preços!F10 - 1,0)</f>
        <v>0</v>
      </c>
      <c r="J10" s="7">
        <f>IF(AND(preços!G11&lt;&gt;0,preços!G10&lt;&gt;0),preços!G11/preços!G10 - 1,0)</f>
        <v>0.45962732919254656</v>
      </c>
      <c r="K10" s="7">
        <f>IF(AND(preços!H11&lt;&gt;0,preços!H10&lt;&gt;0),preços!H11/preços!H10 - 1,0)</f>
        <v>0</v>
      </c>
      <c r="L10" s="7">
        <f>IF(AND(preços!I11&lt;&gt;0,preços!I10&lt;&gt;0),preços!I11/preços!I10 - 1,0)</f>
        <v>0</v>
      </c>
      <c r="M10" s="7">
        <f>IF(AND(preços!J11&lt;&gt;0,preços!J10&lt;&gt;0),preços!J11/preços!J10 - 1,0)</f>
        <v>-0.39271485486624935</v>
      </c>
      <c r="N10" s="7">
        <f>IF(AND(preços!K11&lt;&gt;0,preços!K10&lt;&gt;0),preços!K11/preços!K10 - 1,0)</f>
        <v>0.73116089613034618</v>
      </c>
      <c r="O10" s="7">
        <f>IF(AND(preços!L11&lt;&gt;0,preços!L10&lt;&gt;0),preços!L11/preços!L10 - 1,0)</f>
        <v>0.48188405797101463</v>
      </c>
      <c r="P10" s="7">
        <f>IF(AND(preços!M11&lt;&gt;0,preços!M10&lt;&gt;0),preços!M11/preços!M10 - 1,0)</f>
        <v>0</v>
      </c>
      <c r="Q10" s="7">
        <f>IF(AND(preços!N11&lt;&gt;0,preços!N10&lt;&gt;0),preços!N11/preços!N10 - 1,0)</f>
        <v>0</v>
      </c>
      <c r="R10" s="7">
        <f>IF(AND(preços!O11&lt;&gt;0,preços!O10&lt;&gt;0),preços!O11/preços!O10 - 1,0)</f>
        <v>0</v>
      </c>
      <c r="S10" s="7">
        <f>IF(AND(preços!P11&lt;&gt;0,preços!P10&lt;&gt;0),preços!P11/preços!P10 - 1,0)</f>
        <v>0</v>
      </c>
      <c r="T10" s="7">
        <f>IF(AND(preços!Q11&lt;&gt;0,preços!Q10&lt;&gt;0),preços!Q11/preços!Q10 - 1,0)</f>
        <v>2.0307017543859653</v>
      </c>
      <c r="U10" s="7">
        <f>IF(AND(preços!R11&lt;&gt;0,preços!R10&lt;&gt;0),preços!R11/preços!R10 - 1,0)</f>
        <v>0</v>
      </c>
      <c r="V10" s="7">
        <f>IF(AND(preços!S11&lt;&gt;0,preços!S10&lt;&gt;0),preços!S11/preços!S10 - 1,0)</f>
        <v>0</v>
      </c>
      <c r="W10" s="7">
        <f>IF(AND(preços!T11&lt;&gt;0,preços!T10&lt;&gt;0),preços!T11/preços!T10 - 1,0)</f>
        <v>0</v>
      </c>
      <c r="X10" s="7">
        <f>IF(AND(preços!U11&lt;&gt;0,preços!U10&lt;&gt;0),preços!U11/preços!U10 - 1,0)</f>
        <v>0</v>
      </c>
      <c r="Y10" s="7">
        <f>IF(AND(preços!V11&lt;&gt;0,preços!V10&lt;&gt;0),preços!V11/preços!V10 - 1,0)</f>
        <v>0</v>
      </c>
      <c r="Z10" s="7">
        <f>IF(AND(preços!W11&lt;&gt;0,preços!W10&lt;&gt;0),preços!W11/preços!W10 - 1,0)</f>
        <v>0</v>
      </c>
      <c r="AA10" s="7">
        <f>IF(AND(preços!X11&lt;&gt;0,preços!X10&lt;&gt;0),preços!X11/preços!X10 - 1,0)</f>
        <v>0</v>
      </c>
      <c r="AB10" s="7">
        <f>IF(AND(preços!Y11&lt;&gt;0,preços!Y10&lt;&gt;0),preços!Y11/preços!Y10 - 1,0)</f>
        <v>0</v>
      </c>
      <c r="AC10" s="7">
        <f>IF(AND(preços!Z11&lt;&gt;0,preços!Z10&lt;&gt;0),preços!Z11/preços!Z10 - 1,0)</f>
        <v>0</v>
      </c>
      <c r="AD10" s="7">
        <f>IF(AND(preços!AA11&lt;&gt;0,preços!AA10&lt;&gt;0),preços!AA11/preços!AA10 - 1,0)</f>
        <v>0</v>
      </c>
      <c r="AE10" s="7">
        <f>IF(AND(preços!AB11&lt;&gt;0,preços!AB10&lt;&gt;0),preços!AB11/preços!AB10 - 1,0)</f>
        <v>0</v>
      </c>
      <c r="AF10" s="7">
        <f>IF(AND(preços!AC11&lt;&gt;0,preços!AC10&lt;&gt;0),preços!AC11/preços!AC10 - 1,0)</f>
        <v>0</v>
      </c>
      <c r="AG10" s="7">
        <f>IF(AND(preços!AD11&lt;&gt;0,preços!AD10&lt;&gt;0),preços!AD11/preços!AD10 - 1,0)</f>
        <v>0</v>
      </c>
      <c r="AH10" s="7">
        <f>IF(AND(preços!AE11&lt;&gt;0,preços!AE10&lt;&gt;0),preços!AE11/preços!AE10 - 1,0)</f>
        <v>0</v>
      </c>
      <c r="AI10" s="7">
        <f>IF(AND(preços!AF11&lt;&gt;0,preços!AF10&lt;&gt;0),preços!AF11/preços!AF10 - 1,0)</f>
        <v>0</v>
      </c>
      <c r="AJ10" s="7">
        <f>IF(AND(preços!AG11&lt;&gt;0,preços!AG10&lt;&gt;0),preços!AG11/preços!AG10 - 1,0)</f>
        <v>0</v>
      </c>
      <c r="AK10" s="7">
        <f>IF(AND(preços!AH11&lt;&gt;0,preços!AH10&lt;&gt;0),preços!AH11/preços!AH10 - 1,0)</f>
        <v>0</v>
      </c>
      <c r="AL10" s="7">
        <f>IF(AND(preços!AI11&lt;&gt;0,preços!AI10&lt;&gt;0),preços!AI11/preços!AI10 - 1,0)</f>
        <v>0</v>
      </c>
      <c r="AM10" s="7">
        <f>IF(AND(preços!AJ11&lt;&gt;0,preços!AJ10&lt;&gt;0),preços!AJ11/preços!AJ10 - 1,0)</f>
        <v>0</v>
      </c>
      <c r="AN10" s="7">
        <f>IF(AND(preços!AK11&lt;&gt;0,preços!AK10&lt;&gt;0),preços!AK11/preços!AK10 - 1,0)</f>
        <v>0</v>
      </c>
      <c r="AO10" s="7">
        <f>IF(AND(preços!AL11&lt;&gt;0,preços!AL10&lt;&gt;0),preços!AL11/preços!AL10 - 1,0)</f>
        <v>0</v>
      </c>
      <c r="AP10" s="7" cm="1">
        <f t="array" ref="AP10">AcumularA(A10,selic!$A$2:$B$6050)</f>
        <v>0.15076798769963551</v>
      </c>
    </row>
    <row r="11" spans="1:44" x14ac:dyDescent="0.25">
      <c r="A11" s="2">
        <v>2007</v>
      </c>
      <c r="B11" s="7">
        <f t="shared" si="1"/>
        <v>0.34076289272064358</v>
      </c>
      <c r="C11" s="7">
        <f t="shared" si="0"/>
        <v>0</v>
      </c>
      <c r="D11" s="7">
        <f t="shared" si="2"/>
        <v>0.11875935958815509</v>
      </c>
      <c r="E11" s="7">
        <f>IF(AND(preços!B12&lt;&gt;0,preços!B11&lt;&gt;0),preços!B12/preços!B11 - 1,0)</f>
        <v>5.6764427625355385E-3</v>
      </c>
      <c r="F11" s="7">
        <f>IF(AND(preços!C12&lt;&gt;0,preços!C11&lt;&gt;0),preços!C12/preços!C11 - 1,0)</f>
        <v>0</v>
      </c>
      <c r="G11" s="7">
        <f>IF(AND(preços!D12&lt;&gt;0,preços!D11&lt;&gt;0),preços!D12/preços!D11 - 1,0)</f>
        <v>0.58252427184466016</v>
      </c>
      <c r="H11" s="7">
        <f>IF(AND(preços!E12&lt;&gt;0,preços!E11&lt;&gt;0),preços!E12/preços!E11 - 1,0)</f>
        <v>0.17827868852459017</v>
      </c>
      <c r="I11" s="7">
        <f>IF(AND(preços!F12&lt;&gt;0,preços!F11&lt;&gt;0),preços!F12/preços!F11 - 1,0)</f>
        <v>0</v>
      </c>
      <c r="J11" s="7">
        <f>IF(AND(preços!G12&lt;&gt;0,preços!G11&lt;&gt;0),preços!G12/preços!G11 - 1,0)</f>
        <v>1.3191489361702127</v>
      </c>
      <c r="K11" s="7">
        <f>IF(AND(preços!H12&lt;&gt;0,preços!H11&lt;&gt;0),preços!H12/preços!H11 - 1,0)</f>
        <v>0</v>
      </c>
      <c r="L11" s="7">
        <f>IF(AND(preços!I12&lt;&gt;0,preços!I11&lt;&gt;0),preços!I12/preços!I11 - 1,0)</f>
        <v>0.16949152542372881</v>
      </c>
      <c r="M11" s="7">
        <f>IF(AND(preços!J12&lt;&gt;0,preços!J11&lt;&gt;0),preços!J12/preços!J11 - 1,0)</f>
        <v>0.26335520149953151</v>
      </c>
      <c r="N11" s="7">
        <f>IF(AND(preços!K12&lt;&gt;0,preços!K11&lt;&gt;0),preços!K12/preços!K11 - 1,0)</f>
        <v>0.29882352941176471</v>
      </c>
      <c r="O11" s="7">
        <f>IF(AND(preços!L12&lt;&gt;0,preços!L11&lt;&gt;0),preços!L12/preços!L11 - 1,0)</f>
        <v>0.20904645476772621</v>
      </c>
      <c r="P11" s="7">
        <f>IF(AND(preços!M12&lt;&gt;0,preços!M11&lt;&gt;0),preços!M12/preços!M11 - 1,0)</f>
        <v>0</v>
      </c>
      <c r="Q11" s="7">
        <f>IF(AND(preços!N12&lt;&gt;0,preços!N11&lt;&gt;0),preços!N12/preços!N11 - 1,0)</f>
        <v>0</v>
      </c>
      <c r="R11" s="7">
        <f>IF(AND(preços!O12&lt;&gt;0,preços!O11&lt;&gt;0),preços!O12/preços!O11 - 1,0)</f>
        <v>0</v>
      </c>
      <c r="S11" s="7">
        <f>IF(AND(preços!P12&lt;&gt;0,preços!P11&lt;&gt;0),preços!P12/preços!P11 - 1,0)</f>
        <v>0</v>
      </c>
      <c r="T11" s="7">
        <f>IF(AND(preços!Q12&lt;&gt;0,preços!Q11&lt;&gt;0),preços!Q12/preços!Q11 - 1,0)</f>
        <v>4.05209840810421E-2</v>
      </c>
      <c r="U11" s="7">
        <f>IF(AND(preços!R12&lt;&gt;0,preços!R11&lt;&gt;0),preços!R12/preços!R11 - 1,0)</f>
        <v>0</v>
      </c>
      <c r="V11" s="7">
        <f>IF(AND(preços!S12&lt;&gt;0,preços!S11&lt;&gt;0),preços!S12/preços!S11 - 1,0)</f>
        <v>0</v>
      </c>
      <c r="W11" s="7">
        <f>IF(AND(preços!T12&lt;&gt;0,preços!T11&lt;&gt;0),preços!T12/preços!T11 - 1,0)</f>
        <v>0</v>
      </c>
      <c r="X11" s="7">
        <f>IF(AND(preços!U12&lt;&gt;0,preços!U11&lt;&gt;0),preços!U12/preços!U11 - 1,0)</f>
        <v>0</v>
      </c>
      <c r="Y11" s="7">
        <f>IF(AND(preços!V12&lt;&gt;0,preços!V11&lt;&gt;0),preços!V12/preços!V11 - 1,0)</f>
        <v>0</v>
      </c>
      <c r="Z11" s="7">
        <f>IF(AND(preços!W12&lt;&gt;0,preços!W11&lt;&gt;0),preços!W12/preços!W11 - 1,0)</f>
        <v>0</v>
      </c>
      <c r="AA11" s="7">
        <f>IF(AND(preços!X12&lt;&gt;0,preços!X11&lt;&gt;0),preços!X12/preços!X11 - 1,0)</f>
        <v>0</v>
      </c>
      <c r="AB11" s="7">
        <f>IF(AND(preços!Y12&lt;&gt;0,preços!Y11&lt;&gt;0),preços!Y12/preços!Y11 - 1,0)</f>
        <v>0</v>
      </c>
      <c r="AC11" s="7">
        <f>IF(AND(preços!Z12&lt;&gt;0,preços!Z11&lt;&gt;0),preços!Z12/preços!Z11 - 1,0)</f>
        <v>0</v>
      </c>
      <c r="AD11" s="7">
        <f>IF(AND(preços!AA12&lt;&gt;0,preços!AA11&lt;&gt;0),preços!AA12/preços!AA11 - 1,0)</f>
        <v>0</v>
      </c>
      <c r="AE11" s="7">
        <f>IF(AND(preços!AB12&lt;&gt;0,preços!AB11&lt;&gt;0),preços!AB12/preços!AB11 - 1,0)</f>
        <v>0</v>
      </c>
      <c r="AF11" s="7">
        <f>IF(AND(preços!AC12&lt;&gt;0,preços!AC11&lt;&gt;0),preços!AC12/preços!AC11 - 1,0)</f>
        <v>0</v>
      </c>
      <c r="AG11" s="7">
        <f>IF(AND(preços!AD12&lt;&gt;0,preços!AD11&lt;&gt;0),preços!AD12/preços!AD11 - 1,0)</f>
        <v>0</v>
      </c>
      <c r="AH11" s="7">
        <f>IF(AND(preços!AE12&lt;&gt;0,preços!AE11&lt;&gt;0),preços!AE12/preços!AE11 - 1,0)</f>
        <v>0</v>
      </c>
      <c r="AI11" s="7">
        <f>IF(AND(preços!AF12&lt;&gt;0,preços!AF11&lt;&gt;0),preços!AF12/preços!AF11 - 1,0)</f>
        <v>0</v>
      </c>
      <c r="AJ11" s="7">
        <f>IF(AND(preços!AG12&lt;&gt;0,preços!AG11&lt;&gt;0),preços!AG12/preços!AG11 - 1,0)</f>
        <v>0</v>
      </c>
      <c r="AK11" s="7">
        <f>IF(AND(preços!AH12&lt;&gt;0,preços!AH11&lt;&gt;0),preços!AH12/preços!AH11 - 1,0)</f>
        <v>0</v>
      </c>
      <c r="AL11" s="7">
        <f>IF(AND(preços!AI12&lt;&gt;0,preços!AI11&lt;&gt;0),preços!AI12/preços!AI11 - 1,0)</f>
        <v>0</v>
      </c>
      <c r="AM11" s="7">
        <f>IF(AND(preços!AJ12&lt;&gt;0,preços!AJ11&lt;&gt;0),preços!AJ12/preços!AJ11 - 1,0)</f>
        <v>0</v>
      </c>
      <c r="AN11" s="7">
        <f>IF(AND(preços!AK12&lt;&gt;0,preços!AK11&lt;&gt;0),preços!AK12/preços!AK11 - 1,0)</f>
        <v>0</v>
      </c>
      <c r="AO11" s="7">
        <f>IF(AND(preços!AL12&lt;&gt;0,preços!AL11&lt;&gt;0),preços!AL12/preços!AL11 - 1,0)</f>
        <v>0</v>
      </c>
      <c r="AP11" s="7" cm="1">
        <f t="array" ref="AP11">AcumularA(A11,selic!$A$2:$B$6050)</f>
        <v>0.11875935958815509</v>
      </c>
    </row>
    <row r="12" spans="1:44" x14ac:dyDescent="0.25">
      <c r="A12" s="2">
        <v>2008</v>
      </c>
      <c r="B12" s="7">
        <f t="shared" si="1"/>
        <v>2.7349030270798075E-2</v>
      </c>
      <c r="C12" s="7">
        <f t="shared" si="0"/>
        <v>0</v>
      </c>
      <c r="D12" s="7">
        <f t="shared" si="2"/>
        <v>0.12481406806474515</v>
      </c>
      <c r="E12" s="7">
        <f>IF(AND(preços!B13&lt;&gt;0,preços!B12&lt;&gt;0),preços!B13/preços!B12 - 1,0)</f>
        <v>0.87300094073377221</v>
      </c>
      <c r="F12" s="7">
        <f>IF(AND(preços!C13&lt;&gt;0,preços!C12&lt;&gt;0),preços!C13/preços!C12 - 1,0)</f>
        <v>-0.14869888475836424</v>
      </c>
      <c r="G12" s="7">
        <f>IF(AND(preços!D13&lt;&gt;0,preços!D12&lt;&gt;0),preços!D13/preços!D12 - 1,0)</f>
        <v>-6.4417177914110391E-2</v>
      </c>
      <c r="H12" s="7">
        <f>IF(AND(preços!E13&lt;&gt;0,preços!E12&lt;&gt;0),preços!E13/preços!E12 - 1,0)</f>
        <v>5.5652173913043557E-2</v>
      </c>
      <c r="I12" s="7">
        <f>IF(AND(preços!F13&lt;&gt;0,preços!F12&lt;&gt;0),preços!F13/preços!F12 - 1,0)</f>
        <v>0</v>
      </c>
      <c r="J12" s="7">
        <f>IF(AND(preços!G13&lt;&gt;0,preços!G12&lt;&gt;0),preços!G13/preços!G12 - 1,0)</f>
        <v>-0.12477064220183498</v>
      </c>
      <c r="K12" s="7">
        <f>IF(AND(preços!H13&lt;&gt;0,preços!H12&lt;&gt;0),preços!H13/preços!H12 - 1,0)</f>
        <v>0</v>
      </c>
      <c r="L12" s="7">
        <f>IF(AND(preços!I13&lt;&gt;0,preços!I12&lt;&gt;0),preços!I13/preços!I12 - 1,0)</f>
        <v>0.10276679841897218</v>
      </c>
      <c r="M12" s="7">
        <f>IF(AND(preços!J13&lt;&gt;0,preços!J12&lt;&gt;0),preços!J13/preços!J12 - 1,0)</f>
        <v>-0.88130563798219586</v>
      </c>
      <c r="N12" s="7">
        <f>IF(AND(preços!K13&lt;&gt;0,preços!K12&lt;&gt;0),preços!K13/preços!K12 - 1,0)</f>
        <v>0.27807971014492749</v>
      </c>
      <c r="O12" s="7">
        <f>IF(AND(preços!L13&lt;&gt;0,preços!L12&lt;&gt;0),preços!L13/preços!L12 - 1,0)</f>
        <v>0.24368048533872599</v>
      </c>
      <c r="P12" s="7">
        <f>IF(AND(preços!M13&lt;&gt;0,preços!M12&lt;&gt;0),preços!M13/preços!M12 - 1,0)</f>
        <v>0</v>
      </c>
      <c r="Q12" s="7">
        <f>IF(AND(preços!N13&lt;&gt;0,preços!N12&lt;&gt;0),preços!N13/preços!N12 - 1,0)</f>
        <v>-2.7888446215139417E-2</v>
      </c>
      <c r="R12" s="7">
        <f>IF(AND(preços!O13&lt;&gt;0,preços!O12&lt;&gt;0),preços!O13/preços!O12 - 1,0)</f>
        <v>-1.6853932584269704E-2</v>
      </c>
      <c r="S12" s="7">
        <f>IF(AND(preços!P13&lt;&gt;0,preços!P12&lt;&gt;0),preços!P13/preços!P12 - 1,0)</f>
        <v>0</v>
      </c>
      <c r="T12" s="7">
        <f>IF(AND(preços!Q13&lt;&gt;0,preços!Q12&lt;&gt;0),preços!Q13/preços!Q12 - 1,0)</f>
        <v>3.8942976356050041E-2</v>
      </c>
      <c r="U12" s="7">
        <f>IF(AND(preços!R13&lt;&gt;0,preços!R12&lt;&gt;0),preços!R13/preços!R12 - 1,0)</f>
        <v>0</v>
      </c>
      <c r="V12" s="7">
        <f>IF(AND(preços!S13&lt;&gt;0,preços!S12&lt;&gt;0),preços!S13/preços!S12 - 1,0)</f>
        <v>0</v>
      </c>
      <c r="W12" s="7">
        <f>IF(AND(preços!T13&lt;&gt;0,preços!T12&lt;&gt;0),preços!T13/preços!T12 - 1,0)</f>
        <v>0</v>
      </c>
      <c r="X12" s="7">
        <f>IF(AND(preços!U13&lt;&gt;0,preços!U12&lt;&gt;0),preços!U13/preços!U12 - 1,0)</f>
        <v>0</v>
      </c>
      <c r="Y12" s="7">
        <f>IF(AND(preços!V13&lt;&gt;0,preços!V12&lt;&gt;0),preços!V13/preços!V12 - 1,0)</f>
        <v>0</v>
      </c>
      <c r="Z12" s="7">
        <f>IF(AND(preços!W13&lt;&gt;0,preços!W12&lt;&gt;0),preços!W13/preços!W12 - 1,0)</f>
        <v>0</v>
      </c>
      <c r="AA12" s="7">
        <f>IF(AND(preços!X13&lt;&gt;0,preços!X12&lt;&gt;0),preços!X13/preços!X12 - 1,0)</f>
        <v>0</v>
      </c>
      <c r="AB12" s="7">
        <f>IF(AND(preços!Y13&lt;&gt;0,preços!Y12&lt;&gt;0),preços!Y13/preços!Y12 - 1,0)</f>
        <v>0</v>
      </c>
      <c r="AC12" s="7">
        <f>IF(AND(preços!Z13&lt;&gt;0,preços!Z12&lt;&gt;0),preços!Z13/preços!Z12 - 1,0)</f>
        <v>0</v>
      </c>
      <c r="AD12" s="7">
        <f>IF(AND(preços!AA13&lt;&gt;0,preços!AA12&lt;&gt;0),preços!AA13/preços!AA12 - 1,0)</f>
        <v>0</v>
      </c>
      <c r="AE12" s="7">
        <f>IF(AND(preços!AB13&lt;&gt;0,preços!AB12&lt;&gt;0),preços!AB13/preços!AB12 - 1,0)</f>
        <v>0</v>
      </c>
      <c r="AF12" s="7">
        <f>IF(AND(preços!AC13&lt;&gt;0,preços!AC12&lt;&gt;0),preços!AC13/preços!AC12 - 1,0)</f>
        <v>0</v>
      </c>
      <c r="AG12" s="7">
        <f>IF(AND(preços!AD13&lt;&gt;0,preços!AD12&lt;&gt;0),preços!AD13/preços!AD12 - 1,0)</f>
        <v>0</v>
      </c>
      <c r="AH12" s="7">
        <f>IF(AND(preços!AE13&lt;&gt;0,preços!AE12&lt;&gt;0),preços!AE13/preços!AE12 - 1,0)</f>
        <v>0</v>
      </c>
      <c r="AI12" s="7">
        <f>IF(AND(preços!AF13&lt;&gt;0,preços!AF12&lt;&gt;0),preços!AF13/preços!AF12 - 1,0)</f>
        <v>0</v>
      </c>
      <c r="AJ12" s="7">
        <f>IF(AND(preços!AG13&lt;&gt;0,preços!AG12&lt;&gt;0),preços!AG13/preços!AG12 - 1,0)</f>
        <v>0</v>
      </c>
      <c r="AK12" s="7">
        <f>IF(AND(preços!AH13&lt;&gt;0,preços!AH12&lt;&gt;0),preços!AH13/preços!AH12 - 1,0)</f>
        <v>0</v>
      </c>
      <c r="AL12" s="7">
        <f>IF(AND(preços!AI13&lt;&gt;0,preços!AI12&lt;&gt;0),preços!AI13/preços!AI12 - 1,0)</f>
        <v>0</v>
      </c>
      <c r="AM12" s="7">
        <f>IF(AND(preços!AJ13&lt;&gt;0,preços!AJ12&lt;&gt;0),preços!AJ13/preços!AJ12 - 1,0)</f>
        <v>0</v>
      </c>
      <c r="AN12" s="7">
        <f>IF(AND(preços!AK13&lt;&gt;0,preços!AK12&lt;&gt;0),preços!AK13/preços!AK12 - 1,0)</f>
        <v>0</v>
      </c>
      <c r="AO12" s="7">
        <f>IF(AND(preços!AL13&lt;&gt;0,preços!AL12&lt;&gt;0),preços!AL13/preços!AL12 - 1,0)</f>
        <v>0</v>
      </c>
      <c r="AP12" s="7" cm="1">
        <f t="array" ref="AP12">AcumularA(A12,selic!$A$2:$B$6050)</f>
        <v>0.12481406806474515</v>
      </c>
    </row>
    <row r="13" spans="1:44" x14ac:dyDescent="0.25">
      <c r="A13" s="2">
        <v>2009</v>
      </c>
      <c r="B13" s="7">
        <f t="shared" si="1"/>
        <v>-0.30946627384536457</v>
      </c>
      <c r="C13" s="7">
        <f t="shared" si="0"/>
        <v>0</v>
      </c>
      <c r="D13" s="7">
        <f t="shared" si="2"/>
        <v>9.9296741387810084E-2</v>
      </c>
      <c r="E13" s="7">
        <f>IF(AND(preços!B14&lt;&gt;0,preços!B13&lt;&gt;0),preços!B14/preços!B13 - 1,0)</f>
        <v>-0.35836263184329487</v>
      </c>
      <c r="F13" s="7">
        <f>IF(AND(preços!C14&lt;&gt;0,preços!C13&lt;&gt;0),preços!C14/preços!C13 - 1,0)</f>
        <v>-0.4366812227074236</v>
      </c>
      <c r="G13" s="7">
        <f>IF(AND(preços!D14&lt;&gt;0,preços!D13&lt;&gt;0),preços!D14/preços!D13 - 1,0)</f>
        <v>-0.46557377049180326</v>
      </c>
      <c r="H13" s="7">
        <f>IF(AND(preços!E14&lt;&gt;0,preços!E13&lt;&gt;0),preços!E14/preços!E13 - 1,0)</f>
        <v>-0.25041186161449758</v>
      </c>
      <c r="I13" s="7">
        <f>IF(AND(preços!F14&lt;&gt;0,preços!F13&lt;&gt;0),preços!F14/preços!F13 - 1,0)</f>
        <v>0</v>
      </c>
      <c r="J13" s="7">
        <f>IF(AND(preços!G14&lt;&gt;0,preços!G13&lt;&gt;0),preços!G14/preços!G13 - 1,0)</f>
        <v>-0.23899371069182385</v>
      </c>
      <c r="K13" s="7">
        <f>IF(AND(preços!H14&lt;&gt;0,preços!H13&lt;&gt;0),preços!H14/preços!H13 - 1,0)</f>
        <v>0</v>
      </c>
      <c r="L13" s="7">
        <f>IF(AND(preços!I14&lt;&gt;0,preços!I13&lt;&gt;0),preços!I14/preços!I13 - 1,0)</f>
        <v>-2.0310633213859064E-2</v>
      </c>
      <c r="M13" s="7">
        <f>IF(AND(preços!J14&lt;&gt;0,preços!J13&lt;&gt;0),preços!J14/preços!J13 - 1,0)</f>
        <v>-0.27812500000000007</v>
      </c>
      <c r="N13" s="7">
        <f>IF(AND(preços!K14&lt;&gt;0,preços!K13&lt;&gt;0),preços!K14/preços!K13 - 1,0)</f>
        <v>-0.48759744861800136</v>
      </c>
      <c r="O13" s="7">
        <f>IF(AND(preços!L14&lt;&gt;0,preços!L13&lt;&gt;0),preços!L14/preços!L13 - 1,0)</f>
        <v>-0.34065040650406508</v>
      </c>
      <c r="P13" s="7">
        <f>IF(AND(preços!M14&lt;&gt;0,preços!M13&lt;&gt;0),preços!M14/preços!M13 - 1,0)</f>
        <v>0</v>
      </c>
      <c r="Q13" s="7">
        <f>IF(AND(preços!N14&lt;&gt;0,preços!N13&lt;&gt;0),preços!N14/preços!N13 - 1,0)</f>
        <v>-0.13114754098360648</v>
      </c>
      <c r="R13" s="7">
        <f>IF(AND(preços!O14&lt;&gt;0,preços!O13&lt;&gt;0),preços!O14/preços!O13 - 1,0)</f>
        <v>-0.36571428571428566</v>
      </c>
      <c r="S13" s="7">
        <f>IF(AND(preços!P14&lt;&gt;0,preços!P13&lt;&gt;0),preços!P14/preços!P13 - 1,0)</f>
        <v>0</v>
      </c>
      <c r="T13" s="7">
        <f>IF(AND(preços!Q14&lt;&gt;0,preços!Q13&lt;&gt;0),preços!Q14/preços!Q13 - 1,0)</f>
        <v>-0.34002677376171353</v>
      </c>
      <c r="U13" s="7">
        <f>IF(AND(preços!R14&lt;&gt;0,preços!R13&lt;&gt;0),preços!R14/preços!R13 - 1,0)</f>
        <v>0</v>
      </c>
      <c r="V13" s="7">
        <f>IF(AND(preços!S14&lt;&gt;0,preços!S13&lt;&gt;0),preços!S14/preços!S13 - 1,0)</f>
        <v>0</v>
      </c>
      <c r="W13" s="7">
        <f>IF(AND(preços!T14&lt;&gt;0,preços!T13&lt;&gt;0),preços!T14/preços!T13 - 1,0)</f>
        <v>0</v>
      </c>
      <c r="X13" s="7">
        <f>IF(AND(preços!U14&lt;&gt;0,preços!U13&lt;&gt;0),preços!U14/preços!U13 - 1,0)</f>
        <v>0</v>
      </c>
      <c r="Y13" s="7">
        <f>IF(AND(preços!V14&lt;&gt;0,preços!V13&lt;&gt;0),preços!V14/preços!V13 - 1,0)</f>
        <v>0</v>
      </c>
      <c r="Z13" s="7">
        <f>IF(AND(preços!W14&lt;&gt;0,preços!W13&lt;&gt;0),preços!W14/preços!W13 - 1,0)</f>
        <v>0</v>
      </c>
      <c r="AA13" s="7">
        <f>IF(AND(preços!X14&lt;&gt;0,preços!X13&lt;&gt;0),preços!X14/preços!X13 - 1,0)</f>
        <v>0</v>
      </c>
      <c r="AB13" s="7">
        <f>IF(AND(preços!Y14&lt;&gt;0,preços!Y13&lt;&gt;0),preços!Y14/preços!Y13 - 1,0)</f>
        <v>0</v>
      </c>
      <c r="AC13" s="7">
        <f>IF(AND(preços!Z14&lt;&gt;0,preços!Z13&lt;&gt;0),preços!Z14/preços!Z13 - 1,0)</f>
        <v>0</v>
      </c>
      <c r="AD13" s="7">
        <f>IF(AND(preços!AA14&lt;&gt;0,preços!AA13&lt;&gt;0),preços!AA14/preços!AA13 - 1,0)</f>
        <v>0</v>
      </c>
      <c r="AE13" s="7">
        <f>IF(AND(preços!AB14&lt;&gt;0,preços!AB13&lt;&gt;0),preços!AB14/preços!AB13 - 1,0)</f>
        <v>0</v>
      </c>
      <c r="AF13" s="7">
        <f>IF(AND(preços!AC14&lt;&gt;0,preços!AC13&lt;&gt;0),preços!AC14/preços!AC13 - 1,0)</f>
        <v>0</v>
      </c>
      <c r="AG13" s="7">
        <f>IF(AND(preços!AD14&lt;&gt;0,preços!AD13&lt;&gt;0),preços!AD14/preços!AD13 - 1,0)</f>
        <v>0</v>
      </c>
      <c r="AH13" s="7">
        <f>IF(AND(preços!AE14&lt;&gt;0,preços!AE13&lt;&gt;0),preços!AE14/preços!AE13 - 1,0)</f>
        <v>0</v>
      </c>
      <c r="AI13" s="7">
        <f>IF(AND(preços!AF14&lt;&gt;0,preços!AF13&lt;&gt;0),preços!AF14/preços!AF13 - 1,0)</f>
        <v>0</v>
      </c>
      <c r="AJ13" s="7">
        <f>IF(AND(preços!AG14&lt;&gt;0,preços!AG13&lt;&gt;0),preços!AG14/preços!AG13 - 1,0)</f>
        <v>0</v>
      </c>
      <c r="AK13" s="7">
        <f>IF(AND(preços!AH14&lt;&gt;0,preços!AH13&lt;&gt;0),preços!AH14/preços!AH13 - 1,0)</f>
        <v>0</v>
      </c>
      <c r="AL13" s="7">
        <f>IF(AND(preços!AI14&lt;&gt;0,preços!AI13&lt;&gt;0),preços!AI14/preços!AI13 - 1,0)</f>
        <v>0</v>
      </c>
      <c r="AM13" s="7">
        <f>IF(AND(preços!AJ14&lt;&gt;0,preços!AJ13&lt;&gt;0),preços!AJ14/preços!AJ13 - 1,0)</f>
        <v>0</v>
      </c>
      <c r="AN13" s="7">
        <f>IF(AND(preços!AK14&lt;&gt;0,preços!AK13&lt;&gt;0),preços!AK14/preços!AK13 - 1,0)</f>
        <v>0</v>
      </c>
      <c r="AO13" s="7">
        <f>IF(AND(preços!AL14&lt;&gt;0,preços!AL13&lt;&gt;0),preços!AL14/preços!AL13 - 1,0)</f>
        <v>0</v>
      </c>
      <c r="AP13" s="7" cm="1">
        <f t="array" ref="AP13">AcumularA(A13,selic!$A$2:$B$6050)</f>
        <v>9.9296741387810084E-2</v>
      </c>
    </row>
    <row r="14" spans="1:44" x14ac:dyDescent="0.25">
      <c r="A14" s="2">
        <v>2010</v>
      </c>
      <c r="B14" s="7">
        <f t="shared" si="1"/>
        <v>0.88857228822963319</v>
      </c>
      <c r="C14" s="7">
        <f t="shared" si="0"/>
        <v>0</v>
      </c>
      <c r="D14" s="7">
        <f t="shared" si="2"/>
        <v>9.776912917959657E-2</v>
      </c>
      <c r="E14" s="7">
        <f>IF(AND(preços!B15&lt;&gt;0,preços!B14&lt;&gt;0),preços!B15/preços!B14 - 1,0)</f>
        <v>0.28806262230919755</v>
      </c>
      <c r="F14" s="7">
        <f>IF(AND(preços!C15&lt;&gt;0,preços!C14&lt;&gt;0),preços!C15/preços!C14 - 1,0)</f>
        <v>0.60465116279069742</v>
      </c>
      <c r="G14" s="7">
        <f>IF(AND(preços!D15&lt;&gt;0,preços!D14&lt;&gt;0),preços!D15/preços!D14 - 1,0)</f>
        <v>1.5766871165644174</v>
      </c>
      <c r="H14" s="7">
        <f>IF(AND(preços!E15&lt;&gt;0,preços!E14&lt;&gt;0),preços!E15/preços!E14 - 1,0)</f>
        <v>0.66153846153846141</v>
      </c>
      <c r="I14" s="7">
        <f>IF(AND(preços!F15&lt;&gt;0,preços!F14&lt;&gt;0),preços!F15/preços!F14 - 1,0)</f>
        <v>0.94202898550724656</v>
      </c>
      <c r="J14" s="7">
        <f>IF(AND(preços!G15&lt;&gt;0,preços!G14&lt;&gt;0),preços!G15/preços!G14 - 1,0)</f>
        <v>0.42148760330578527</v>
      </c>
      <c r="K14" s="7">
        <f>IF(AND(preços!H15&lt;&gt;0,preços!H14&lt;&gt;0),preços!H15/preços!H14 - 1,0)</f>
        <v>0</v>
      </c>
      <c r="L14" s="7">
        <f>IF(AND(preços!I15&lt;&gt;0,preços!I14&lt;&gt;0),preços!I15/preços!I14 - 1,0)</f>
        <v>0.17560975609756113</v>
      </c>
      <c r="M14" s="7">
        <f>IF(AND(preços!J15&lt;&gt;0,preços!J14&lt;&gt;0),preços!J15/preços!J14 - 1,0)</f>
        <v>0.88744588744588748</v>
      </c>
      <c r="N14" s="7">
        <f>IF(AND(preços!K15&lt;&gt;0,preços!K14&lt;&gt;0),preços!K15/preços!K14 - 1,0)</f>
        <v>1.1230982019363762</v>
      </c>
      <c r="O14" s="7">
        <f>IF(AND(preços!L15&lt;&gt;0,preços!L14&lt;&gt;0),preços!L15/preços!L14 - 1,0)</f>
        <v>0.66337854500616533</v>
      </c>
      <c r="P14" s="7">
        <f>IF(AND(preços!M15&lt;&gt;0,preços!M14&lt;&gt;0),preços!M15/preços!M14 - 1,0)</f>
        <v>0</v>
      </c>
      <c r="Q14" s="7">
        <f>IF(AND(preços!N15&lt;&gt;0,preços!N14&lt;&gt;0),preços!N15/preços!N14 - 1,0)</f>
        <v>1.9764150943396221</v>
      </c>
      <c r="R14" s="7">
        <f>IF(AND(preços!O15&lt;&gt;0,preços!O14&lt;&gt;0),preços!O15/preços!O14 - 1,0)</f>
        <v>1.6306306306306304</v>
      </c>
      <c r="S14" s="7">
        <f>IF(AND(preços!P15&lt;&gt;0,preços!P14&lt;&gt;0),preços!P15/preços!P14 - 1,0)</f>
        <v>0</v>
      </c>
      <c r="T14" s="7">
        <f>IF(AND(preços!Q15&lt;&gt;0,preços!Q14&lt;&gt;0),preços!Q15/preços!Q14 - 1,0)</f>
        <v>0.60040567951318469</v>
      </c>
      <c r="U14" s="7">
        <f>IF(AND(preços!R15&lt;&gt;0,preços!R14&lt;&gt;0),preços!R15/preços!R14 - 1,0)</f>
        <v>0</v>
      </c>
      <c r="V14" s="7">
        <f>IF(AND(preços!S15&lt;&gt;0,preços!S14&lt;&gt;0),preços!S15/preços!S14 - 1,0)</f>
        <v>0</v>
      </c>
      <c r="W14" s="7">
        <f>IF(AND(preços!T15&lt;&gt;0,preços!T14&lt;&gt;0),preços!T15/preços!T14 - 1,0)</f>
        <v>0</v>
      </c>
      <c r="X14" s="7">
        <f>IF(AND(preços!U15&lt;&gt;0,preços!U14&lt;&gt;0),preços!U15/preços!U14 - 1,0)</f>
        <v>0</v>
      </c>
      <c r="Y14" s="7">
        <f>IF(AND(preços!V15&lt;&gt;0,preços!V14&lt;&gt;0),preços!V15/preços!V14 - 1,0)</f>
        <v>0</v>
      </c>
      <c r="Z14" s="7">
        <f>IF(AND(preços!W15&lt;&gt;0,preços!W14&lt;&gt;0),preços!W15/preços!W14 - 1,0)</f>
        <v>0</v>
      </c>
      <c r="AA14" s="7">
        <f>IF(AND(preços!X15&lt;&gt;0,preços!X14&lt;&gt;0),preços!X15/preços!X14 - 1,0)</f>
        <v>0</v>
      </c>
      <c r="AB14" s="7">
        <f>IF(AND(preços!Y15&lt;&gt;0,preços!Y14&lt;&gt;0),preços!Y15/preços!Y14 - 1,0)</f>
        <v>0</v>
      </c>
      <c r="AC14" s="7">
        <f>IF(AND(preços!Z15&lt;&gt;0,preços!Z14&lt;&gt;0),preços!Z15/preços!Z14 - 1,0)</f>
        <v>0</v>
      </c>
      <c r="AD14" s="7">
        <f>IF(AND(preços!AA15&lt;&gt;0,preços!AA14&lt;&gt;0),preços!AA15/preços!AA14 - 1,0)</f>
        <v>0</v>
      </c>
      <c r="AE14" s="7">
        <f>IF(AND(preços!AB15&lt;&gt;0,preços!AB14&lt;&gt;0),preços!AB15/preços!AB14 - 1,0)</f>
        <v>0</v>
      </c>
      <c r="AF14" s="7">
        <f>IF(AND(preços!AC15&lt;&gt;0,preços!AC14&lt;&gt;0),preços!AC15/preços!AC14 - 1,0)</f>
        <v>0</v>
      </c>
      <c r="AG14" s="7">
        <f>IF(AND(preços!AD15&lt;&gt;0,preços!AD14&lt;&gt;0),preços!AD15/preços!AD14 - 1,0)</f>
        <v>0</v>
      </c>
      <c r="AH14" s="7">
        <f>IF(AND(preços!AE15&lt;&gt;0,preços!AE14&lt;&gt;0),preços!AE15/preços!AE14 - 1,0)</f>
        <v>0</v>
      </c>
      <c r="AI14" s="7">
        <f>IF(AND(preços!AF15&lt;&gt;0,preços!AF14&lt;&gt;0),preços!AF15/preços!AF14 - 1,0)</f>
        <v>0</v>
      </c>
      <c r="AJ14" s="7">
        <f>IF(AND(preços!AG15&lt;&gt;0,preços!AG14&lt;&gt;0),preços!AG15/preços!AG14 - 1,0)</f>
        <v>0</v>
      </c>
      <c r="AK14" s="7">
        <f>IF(AND(preços!AH15&lt;&gt;0,preços!AH14&lt;&gt;0),preços!AH15/preços!AH14 - 1,0)</f>
        <v>0</v>
      </c>
      <c r="AL14" s="7">
        <f>IF(AND(preços!AI15&lt;&gt;0,preços!AI14&lt;&gt;0),preços!AI15/preços!AI14 - 1,0)</f>
        <v>0</v>
      </c>
      <c r="AM14" s="7">
        <f>IF(AND(preços!AJ15&lt;&gt;0,preços!AJ14&lt;&gt;0),preços!AJ15/preços!AJ14 - 1,0)</f>
        <v>0</v>
      </c>
      <c r="AN14" s="7">
        <f>IF(AND(preços!AK15&lt;&gt;0,preços!AK14&lt;&gt;0),preços!AK15/preços!AK14 - 1,0)</f>
        <v>0</v>
      </c>
      <c r="AO14" s="7">
        <f>IF(AND(preços!AL15&lt;&gt;0,preços!AL14&lt;&gt;0),preços!AL15/preços!AL14 - 1,0)</f>
        <v>0</v>
      </c>
      <c r="AP14" s="7" cm="1">
        <f t="array" ref="AP14">AcumularA(A14,selic!$A$2:$B$6050)</f>
        <v>9.776912917959657E-2</v>
      </c>
    </row>
    <row r="15" spans="1:44" x14ac:dyDescent="0.25">
      <c r="A15" s="2">
        <v>2011</v>
      </c>
      <c r="B15" s="7">
        <f t="shared" si="1"/>
        <v>0.17598210092320032</v>
      </c>
      <c r="C15" s="7">
        <f t="shared" si="0"/>
        <v>0</v>
      </c>
      <c r="D15" s="7">
        <f t="shared" si="2"/>
        <v>0.11620880728285621</v>
      </c>
      <c r="E15" s="7">
        <f>IF(AND(preços!B16&lt;&gt;0,preços!B15&lt;&gt;0),preços!B16/preços!B15 - 1,0)</f>
        <v>-0.20753570343360672</v>
      </c>
      <c r="F15" s="7">
        <f>IF(AND(preços!C16&lt;&gt;0,preços!C15&lt;&gt;0),preços!C16/preços!C15 - 1,0)</f>
        <v>0.13526570048309194</v>
      </c>
      <c r="G15" s="7">
        <f>IF(AND(preços!D16&lt;&gt;0,preços!D15&lt;&gt;0),preços!D16/preços!D15 - 1,0)</f>
        <v>0.38571428571428568</v>
      </c>
      <c r="H15" s="7">
        <f>IF(AND(preços!E16&lt;&gt;0,preços!E15&lt;&gt;0),preços!E16/preços!E15 - 1,0)</f>
        <v>3.0423280423280463E-2</v>
      </c>
      <c r="I15" s="7">
        <f>IF(AND(preços!F16&lt;&gt;0,preços!F15&lt;&gt;0),preços!F16/preços!F15 - 1,0)</f>
        <v>-4.4776119402985093E-2</v>
      </c>
      <c r="J15" s="7">
        <f>IF(AND(preços!G16&lt;&gt;0,preços!G15&lt;&gt;0),preços!G16/preços!G15 - 1,0)</f>
        <v>0.39922480620155021</v>
      </c>
      <c r="K15" s="7">
        <f>IF(AND(preços!H16&lt;&gt;0,preços!H15&lt;&gt;0),preços!H16/preços!H15 - 1,0)</f>
        <v>0.24649859943977592</v>
      </c>
      <c r="L15" s="7">
        <f>IF(AND(preços!I16&lt;&gt;0,preços!I15&lt;&gt;0),preços!I16/preços!I15 - 1,0)</f>
        <v>0.23029045643153512</v>
      </c>
      <c r="M15" s="7">
        <f>IF(AND(preços!J16&lt;&gt;0,preços!J15&lt;&gt;0),preços!J16/preços!J15 - 1,0)</f>
        <v>0.24770642201834869</v>
      </c>
      <c r="N15" s="7">
        <f>IF(AND(preços!K16&lt;&gt;0,preços!K15&lt;&gt;0),preços!K16/preços!K15 - 1,0)</f>
        <v>5.2768729641693879E-2</v>
      </c>
      <c r="O15" s="7">
        <f>IF(AND(preços!L16&lt;&gt;0,preços!L15&lt;&gt;0),preços!L16/preços!L15 - 1,0)</f>
        <v>-0.14603409933283917</v>
      </c>
      <c r="P15" s="7">
        <f>IF(AND(preços!M16&lt;&gt;0,preços!M15&lt;&gt;0),preços!M16/preços!M15 - 1,0)</f>
        <v>0</v>
      </c>
      <c r="Q15" s="7">
        <f>IF(AND(preços!N16&lt;&gt;0,preços!N15&lt;&gt;0),preços!N16/preços!N15 - 1,0)</f>
        <v>0.4215530903328053</v>
      </c>
      <c r="R15" s="7">
        <f>IF(AND(preços!O16&lt;&gt;0,preços!O15&lt;&gt;0),preços!O16/preços!O15 - 1,0)</f>
        <v>0.8013698630136985</v>
      </c>
      <c r="S15" s="7">
        <f>IF(AND(preços!P16&lt;&gt;0,preços!P15&lt;&gt;0),preços!P16/preços!P15 - 1,0)</f>
        <v>0</v>
      </c>
      <c r="T15" s="7">
        <f>IF(AND(preços!Q16&lt;&gt;0,preços!Q15&lt;&gt;0),preços!Q16/preços!Q15 - 1,0)</f>
        <v>-8.8719898605830072E-2</v>
      </c>
      <c r="U15" s="7">
        <f>IF(AND(preços!R16&lt;&gt;0,preços!R15&lt;&gt;0),preços!R16/preços!R15 - 1,0)</f>
        <v>0</v>
      </c>
      <c r="V15" s="7">
        <f>IF(AND(preços!S16&lt;&gt;0,preços!S15&lt;&gt;0),preços!S16/preços!S15 - 1,0)</f>
        <v>0</v>
      </c>
      <c r="W15" s="7">
        <f>IF(AND(preços!T16&lt;&gt;0,preços!T15&lt;&gt;0),preços!T16/preços!T15 - 1,0)</f>
        <v>0</v>
      </c>
      <c r="X15" s="7">
        <f>IF(AND(preços!U16&lt;&gt;0,preços!U15&lt;&gt;0),preços!U16/preços!U15 - 1,0)</f>
        <v>0</v>
      </c>
      <c r="Y15" s="7">
        <f>IF(AND(preços!V16&lt;&gt;0,preços!V15&lt;&gt;0),preços!V16/preços!V15 - 1,0)</f>
        <v>0</v>
      </c>
      <c r="Z15" s="7">
        <f>IF(AND(preços!W16&lt;&gt;0,preços!W15&lt;&gt;0),preços!W16/preços!W15 - 1,0)</f>
        <v>0</v>
      </c>
      <c r="AA15" s="7">
        <f>IF(AND(preços!X16&lt;&gt;0,preços!X15&lt;&gt;0),preços!X16/preços!X15 - 1,0)</f>
        <v>0</v>
      </c>
      <c r="AB15" s="7">
        <f>IF(AND(preços!Y16&lt;&gt;0,preços!Y15&lt;&gt;0),preços!Y16/preços!Y15 - 1,0)</f>
        <v>0</v>
      </c>
      <c r="AC15" s="7">
        <f>IF(AND(preços!Z16&lt;&gt;0,preços!Z15&lt;&gt;0),preços!Z16/preços!Z15 - 1,0)</f>
        <v>0</v>
      </c>
      <c r="AD15" s="7">
        <f>IF(AND(preços!AA16&lt;&gt;0,preços!AA15&lt;&gt;0),preços!AA16/preços!AA15 - 1,0)</f>
        <v>0</v>
      </c>
      <c r="AE15" s="7">
        <f>IF(AND(preços!AB16&lt;&gt;0,preços!AB15&lt;&gt;0),preços!AB16/preços!AB15 - 1,0)</f>
        <v>0</v>
      </c>
      <c r="AF15" s="7">
        <f>IF(AND(preços!AC16&lt;&gt;0,preços!AC15&lt;&gt;0),preços!AC16/preços!AC15 - 1,0)</f>
        <v>0</v>
      </c>
      <c r="AG15" s="7">
        <f>IF(AND(preços!AD16&lt;&gt;0,preços!AD15&lt;&gt;0),preços!AD16/preços!AD15 - 1,0)</f>
        <v>0</v>
      </c>
      <c r="AH15" s="7">
        <f>IF(AND(preços!AE16&lt;&gt;0,preços!AE15&lt;&gt;0),preços!AE16/preços!AE15 - 1,0)</f>
        <v>0</v>
      </c>
      <c r="AI15" s="7">
        <f>IF(AND(preços!AF16&lt;&gt;0,preços!AF15&lt;&gt;0),preços!AF16/preços!AF15 - 1,0)</f>
        <v>0</v>
      </c>
      <c r="AJ15" s="7">
        <f>IF(AND(preços!AG16&lt;&gt;0,preços!AG15&lt;&gt;0),preços!AG16/preços!AG15 - 1,0)</f>
        <v>0</v>
      </c>
      <c r="AK15" s="7">
        <f>IF(AND(preços!AH16&lt;&gt;0,preços!AH15&lt;&gt;0),preços!AH16/preços!AH15 - 1,0)</f>
        <v>0</v>
      </c>
      <c r="AL15" s="7">
        <f>IF(AND(preços!AI16&lt;&gt;0,preços!AI15&lt;&gt;0),preços!AI16/preços!AI15 - 1,0)</f>
        <v>0</v>
      </c>
      <c r="AM15" s="7">
        <f>IF(AND(preços!AJ16&lt;&gt;0,preços!AJ15&lt;&gt;0),preços!AJ16/preços!AJ15 - 1,0)</f>
        <v>0</v>
      </c>
      <c r="AN15" s="7">
        <f>IF(AND(preços!AK16&lt;&gt;0,preços!AK15&lt;&gt;0),preços!AK16/preços!AK15 - 1,0)</f>
        <v>0</v>
      </c>
      <c r="AO15" s="7">
        <f>IF(AND(preços!AL16&lt;&gt;0,preços!AL15&lt;&gt;0),preços!AL16/preços!AL15 - 1,0)</f>
        <v>0</v>
      </c>
      <c r="AP15" s="7" cm="1">
        <f t="array" ref="AP15">AcumularA(A15,selic!$A$2:$B$6050)</f>
        <v>0.11620880728285621</v>
      </c>
    </row>
    <row r="16" spans="1:44" x14ac:dyDescent="0.25">
      <c r="A16" s="2">
        <v>2012</v>
      </c>
      <c r="B16" s="7">
        <f t="shared" si="1"/>
        <v>1.4109423709590356E-2</v>
      </c>
      <c r="C16" s="7">
        <f t="shared" si="0"/>
        <v>0.32417582417582413</v>
      </c>
      <c r="D16" s="7">
        <f t="shared" si="2"/>
        <v>8.4931862582478201E-2</v>
      </c>
      <c r="E16" s="7">
        <f>IF(AND(preços!B17&lt;&gt;0,preços!B16&lt;&gt;0),preços!B17/preços!B16 - 1,0)</f>
        <v>-6.5950920245398725E-2</v>
      </c>
      <c r="F16" s="7">
        <f>IF(AND(preços!C17&lt;&gt;0,preços!C16&lt;&gt;0),preços!C17/preços!C16 - 1,0)</f>
        <v>8.5106382978723527E-3</v>
      </c>
      <c r="G16" s="7">
        <f>IF(AND(preços!D17&lt;&gt;0,preços!D16&lt;&gt;0),preços!D17/preços!D16 - 1,0)</f>
        <v>0.26288659793814428</v>
      </c>
      <c r="H16" s="7">
        <f>IF(AND(preços!E17&lt;&gt;0,preços!E16&lt;&gt;0),preços!E17/preços!E16 - 1,0)</f>
        <v>9.3709884467265692E-2</v>
      </c>
      <c r="I16" s="7">
        <f>IF(AND(preços!F17&lt;&gt;0,preços!F16&lt;&gt;0),preços!F17/preços!F16 - 1,0)</f>
        <v>-7.8125E-3</v>
      </c>
      <c r="J16" s="7">
        <f>IF(AND(preços!G17&lt;&gt;0,preços!G16&lt;&gt;0),preços!G17/preços!G16 - 1,0)</f>
        <v>-0.15927977839335172</v>
      </c>
      <c r="K16" s="7">
        <f>IF(AND(preços!H17&lt;&gt;0,preços!H16&lt;&gt;0),preços!H17/preços!H16 - 1,0)</f>
        <v>-7.6404494382022459E-2</v>
      </c>
      <c r="L16" s="7">
        <f>IF(AND(preços!I17&lt;&gt;0,preços!I16&lt;&gt;0),preços!I17/preços!I16 - 1,0)</f>
        <v>0.25210792580101193</v>
      </c>
      <c r="M16" s="7">
        <f>IF(AND(preços!J17&lt;&gt;0,preços!J16&lt;&gt;0),preços!J17/preços!J16 - 1,0)</f>
        <v>0.42463235294117641</v>
      </c>
      <c r="N16" s="7">
        <f>IF(AND(preços!K17&lt;&gt;0,preços!K16&lt;&gt;0),preços!K17/preços!K16 - 1,0)</f>
        <v>-1.8564356435643581E-2</v>
      </c>
      <c r="O16" s="7">
        <f>IF(AND(preços!L17&lt;&gt;0,preços!L16&lt;&gt;0),preços!L17/preços!L16 - 1,0)</f>
        <v>-0.13107638888888884</v>
      </c>
      <c r="P16" s="7">
        <f>IF(AND(preços!M17&lt;&gt;0,preços!M16&lt;&gt;0),preços!M17/preços!M16 - 1,0)</f>
        <v>-0.74807480748074817</v>
      </c>
      <c r="Q16" s="7">
        <f>IF(AND(preços!N17&lt;&gt;0,preços!N16&lt;&gt;0),preços!N17/preços!N16 - 1,0)</f>
        <v>-5.5741360089186176E-2</v>
      </c>
      <c r="R16" s="7">
        <f>IF(AND(preços!O17&lt;&gt;0,preços!O16&lt;&gt;0),preços!O17/preços!O16 - 1,0)</f>
        <v>0.32699619771863131</v>
      </c>
      <c r="S16" s="7">
        <f>IF(AND(preços!P17&lt;&gt;0,preços!P16&lt;&gt;0),preços!P17/preços!P16 - 1,0)</f>
        <v>0</v>
      </c>
      <c r="T16" s="7">
        <f>IF(AND(preços!Q17&lt;&gt;0,preços!Q16&lt;&gt;0),preços!Q17/preços!Q16 - 1,0)</f>
        <v>0.10570236439499303</v>
      </c>
      <c r="U16" s="7">
        <f>IF(AND(preços!R17&lt;&gt;0,preços!R16&lt;&gt;0),preços!R17/preços!R16 - 1,0)</f>
        <v>0</v>
      </c>
      <c r="V16" s="7">
        <f>IF(AND(preços!S17&lt;&gt;0,preços!S16&lt;&gt;0),preços!S17/preços!S16 - 1,0)</f>
        <v>0</v>
      </c>
      <c r="W16" s="7">
        <f>IF(AND(preços!T17&lt;&gt;0,preços!T16&lt;&gt;0),preços!T17/preços!T16 - 1,0)</f>
        <v>0</v>
      </c>
      <c r="X16" s="7">
        <f>IF(AND(preços!U17&lt;&gt;0,preços!U16&lt;&gt;0),preços!U17/preços!U16 - 1,0)</f>
        <v>0</v>
      </c>
      <c r="Y16" s="7">
        <f>IF(AND(preços!V17&lt;&gt;0,preços!V16&lt;&gt;0),preços!V17/preços!V16 - 1,0)</f>
        <v>0</v>
      </c>
      <c r="Z16" s="7">
        <f>IF(AND(preços!W17&lt;&gt;0,preços!W16&lt;&gt;0),preços!W17/preços!W16 - 1,0)</f>
        <v>0</v>
      </c>
      <c r="AA16" s="7">
        <f>IF(AND(preços!X17&lt;&gt;0,preços!X16&lt;&gt;0),preços!X17/preços!X16 - 1,0)</f>
        <v>0</v>
      </c>
      <c r="AB16" s="7">
        <f>IF(AND(preços!Y17&lt;&gt;0,preços!Y16&lt;&gt;0),preços!Y17/preços!Y16 - 1,0)</f>
        <v>0</v>
      </c>
      <c r="AC16" s="7">
        <f>IF(AND(preços!Z17&lt;&gt;0,preços!Z16&lt;&gt;0),preços!Z17/preços!Z16 - 1,0)</f>
        <v>0</v>
      </c>
      <c r="AD16" s="7">
        <f>IF(AND(preços!AA17&lt;&gt;0,preços!AA16&lt;&gt;0),preços!AA17/preços!AA16 - 1,0)</f>
        <v>0</v>
      </c>
      <c r="AE16" s="7">
        <f>IF(AND(preços!AB17&lt;&gt;0,preços!AB16&lt;&gt;0),preços!AB17/preços!AB16 - 1,0)</f>
        <v>0</v>
      </c>
      <c r="AF16" s="7">
        <f>IF(AND(preços!AC17&lt;&gt;0,preços!AC16&lt;&gt;0),preços!AC17/preços!AC16 - 1,0)</f>
        <v>0</v>
      </c>
      <c r="AG16" s="7">
        <f>IF(AND(preços!AD17&lt;&gt;0,preços!AD16&lt;&gt;0),preços!AD17/preços!AD16 - 1,0)</f>
        <v>0</v>
      </c>
      <c r="AH16" s="7">
        <f>IF(AND(preços!AE17&lt;&gt;0,preços!AE16&lt;&gt;0),preços!AE17/preços!AE16 - 1,0)</f>
        <v>0</v>
      </c>
      <c r="AI16" s="7">
        <f>IF(AND(preços!AF17&lt;&gt;0,preços!AF16&lt;&gt;0),preços!AF17/preços!AF16 - 1,0)</f>
        <v>0</v>
      </c>
      <c r="AJ16" s="7">
        <f>IF(AND(preços!AG17&lt;&gt;0,preços!AG16&lt;&gt;0),preços!AG17/preços!AG16 - 1,0)</f>
        <v>0</v>
      </c>
      <c r="AK16" s="7">
        <f>IF(AND(preços!AH17&lt;&gt;0,preços!AH16&lt;&gt;0),preços!AH17/preços!AH16 - 1,0)</f>
        <v>0</v>
      </c>
      <c r="AL16" s="7">
        <f>IF(AND(preços!AI17&lt;&gt;0,preços!AI16&lt;&gt;0),preços!AI17/preços!AI16 - 1,0)</f>
        <v>0</v>
      </c>
      <c r="AM16" s="7">
        <f>IF(AND(preços!AJ17&lt;&gt;0,preços!AJ16&lt;&gt;0),preços!AJ17/preços!AJ16 - 1,0)</f>
        <v>0.32417582417582413</v>
      </c>
      <c r="AN16" s="7">
        <f>IF(AND(preços!AK17&lt;&gt;0,preços!AK16&lt;&gt;0),preços!AK17/preços!AK16 - 1,0)</f>
        <v>0</v>
      </c>
      <c r="AO16" s="7">
        <f>IF(AND(preços!AL17&lt;&gt;0,preços!AL16&lt;&gt;0),preços!AL17/preços!AL16 - 1,0)</f>
        <v>0</v>
      </c>
      <c r="AP16" s="7" cm="1">
        <f t="array" ref="AP16">AcumularA(A16,selic!$A$2:$B$6050)</f>
        <v>8.4931862582478201E-2</v>
      </c>
      <c r="AR16" s="3"/>
    </row>
    <row r="17" spans="1:44" x14ac:dyDescent="0.25">
      <c r="A17" s="2">
        <v>2013</v>
      </c>
      <c r="B17" s="7">
        <f t="shared" si="1"/>
        <v>0.18186791819643516</v>
      </c>
      <c r="C17" s="7">
        <f t="shared" si="0"/>
        <v>0.30370753280565349</v>
      </c>
      <c r="D17" s="7">
        <f t="shared" si="2"/>
        <v>8.2218999346558519E-2</v>
      </c>
      <c r="E17" s="7">
        <f>IF(AND(preços!B18&lt;&gt;0,preços!B17&lt;&gt;0),preços!B18/preços!B17 - 1,0)</f>
        <v>-0.31280788177339902</v>
      </c>
      <c r="F17" s="7">
        <f>IF(AND(preços!C18&lt;&gt;0,preços!C17&lt;&gt;0),preços!C18/preços!C17 - 1,0)</f>
        <v>0.33333333333333326</v>
      </c>
      <c r="G17" s="7">
        <f>IF(AND(preços!D18&lt;&gt;0,preços!D17&lt;&gt;0),preços!D18/preços!D17 - 1,0)</f>
        <v>0.39455782312925169</v>
      </c>
      <c r="H17" s="7">
        <f>IF(AND(preços!E18&lt;&gt;0,preços!E17&lt;&gt;0),preços!E18/preços!E17 - 1,0)</f>
        <v>0.14319248826291098</v>
      </c>
      <c r="I17" s="7">
        <f>IF(AND(preços!F18&lt;&gt;0,preços!F17&lt;&gt;0),preços!F18/preços!F17 - 1,0)</f>
        <v>0.32677165354330717</v>
      </c>
      <c r="J17" s="7">
        <f>IF(AND(preços!G18&lt;&gt;0,preços!G17&lt;&gt;0),preços!G18/preços!G17 - 1,0)</f>
        <v>0.20428336079077414</v>
      </c>
      <c r="K17" s="7">
        <f>IF(AND(preços!H18&lt;&gt;0,preços!H17&lt;&gt;0),preços!H18/preços!H17 - 1,0)</f>
        <v>-1.7031630170316392E-2</v>
      </c>
      <c r="L17" s="7">
        <f>IF(AND(preços!I18&lt;&gt;0,preços!I17&lt;&gt;0),preços!I18/preços!I17 - 1,0)</f>
        <v>0.2464646464646465</v>
      </c>
      <c r="M17" s="7">
        <f>IF(AND(preços!J18&lt;&gt;0,preços!J17&lt;&gt;0),preços!J18/preços!J17 - 1,0)</f>
        <v>0.80129032258064536</v>
      </c>
      <c r="N17" s="7">
        <f>IF(AND(preços!K18&lt;&gt;0,preços!K17&lt;&gt;0),preços!K18/preços!K17 - 1,0)</f>
        <v>-3.9722572509457654E-2</v>
      </c>
      <c r="O17" s="7">
        <f>IF(AND(preços!L18&lt;&gt;0,preços!L17&lt;&gt;0),preços!L18/preços!L17 - 1,0)</f>
        <v>0.1358641358641357</v>
      </c>
      <c r="P17" s="7">
        <f>IF(AND(preços!M18&lt;&gt;0,preços!M17&lt;&gt;0),preços!M18/preços!M17 - 1,0)</f>
        <v>-0.5906113537117903</v>
      </c>
      <c r="Q17" s="7">
        <f>IF(AND(preços!N18&lt;&gt;0,preços!N17&lt;&gt;0),preços!N18/preços!N17 - 1,0)</f>
        <v>0.47107438016528924</v>
      </c>
      <c r="R17" s="7">
        <f>IF(AND(preços!O18&lt;&gt;0,preços!O17&lt;&gt;0),preços!O18/preços!O17 - 1,0)</f>
        <v>0.10888252148997135</v>
      </c>
      <c r="S17" s="7">
        <f>IF(AND(preços!P18&lt;&gt;0,preços!P17&lt;&gt;0),preços!P18/preços!P17 - 1,0)</f>
        <v>0</v>
      </c>
      <c r="T17" s="7">
        <f>IF(AND(preços!Q18&lt;&gt;0,preços!Q17&lt;&gt;0),preços!Q18/preços!Q17 - 1,0)</f>
        <v>0.40628930817610054</v>
      </c>
      <c r="U17" s="7">
        <f>IF(AND(preços!R18&lt;&gt;0,preços!R17&lt;&gt;0),preços!R18/preços!R17 - 1,0)</f>
        <v>0</v>
      </c>
      <c r="V17" s="7">
        <f>IF(AND(preços!S18&lt;&gt;0,preços!S17&lt;&gt;0),preços!S18/preços!S17 - 1,0)</f>
        <v>0.29805615550755959</v>
      </c>
      <c r="W17" s="7">
        <f>IF(AND(preços!T18&lt;&gt;0,preços!T17&lt;&gt;0),preços!T18/preços!T17 - 1,0)</f>
        <v>0</v>
      </c>
      <c r="X17" s="7">
        <f>IF(AND(preços!U18&lt;&gt;0,preços!U17&lt;&gt;0),preços!U18/preços!U17 - 1,0)</f>
        <v>0</v>
      </c>
      <c r="Y17" s="7">
        <f>IF(AND(preços!V18&lt;&gt;0,preços!V17&lt;&gt;0),preços!V18/preços!V17 - 1,0)</f>
        <v>9.7142857142857197E-2</v>
      </c>
      <c r="Z17" s="7">
        <f>IF(AND(preços!W18&lt;&gt;0,preços!W17&lt;&gt;0),preços!W18/preços!W17 - 1,0)</f>
        <v>0</v>
      </c>
      <c r="AA17" s="7">
        <f>IF(AND(preços!X18&lt;&gt;0,preços!X17&lt;&gt;0),preços!X18/preços!X17 - 1,0)</f>
        <v>0</v>
      </c>
      <c r="AB17" s="7">
        <f>IF(AND(preços!Y18&lt;&gt;0,preços!Y17&lt;&gt;0),preços!Y18/preços!Y17 - 1,0)</f>
        <v>0</v>
      </c>
      <c r="AC17" s="7">
        <f>IF(AND(preços!Z18&lt;&gt;0,preços!Z17&lt;&gt;0),preços!Z18/preços!Z17 - 1,0)</f>
        <v>0</v>
      </c>
      <c r="AD17" s="7">
        <f>IF(AND(preços!AA18&lt;&gt;0,preços!AA17&lt;&gt;0),preços!AA18/preços!AA17 - 1,0)</f>
        <v>0.63970588235294135</v>
      </c>
      <c r="AE17" s="7">
        <f>IF(AND(preços!AB18&lt;&gt;0,preços!AB17&lt;&gt;0),preços!AB18/preços!AB17 - 1,0)</f>
        <v>0</v>
      </c>
      <c r="AF17" s="7">
        <f>IF(AND(preços!AC18&lt;&gt;0,preços!AC17&lt;&gt;0),preços!AC18/preços!AC17 - 1,0)</f>
        <v>0</v>
      </c>
      <c r="AG17" s="7">
        <f>IF(AND(preços!AD18&lt;&gt;0,preços!AD17&lt;&gt;0),preços!AD18/preços!AD17 - 1,0)</f>
        <v>0</v>
      </c>
      <c r="AH17" s="7">
        <f>IF(AND(preços!AE18&lt;&gt;0,preços!AE17&lt;&gt;0),preços!AE18/preços!AE17 - 1,0)</f>
        <v>0</v>
      </c>
      <c r="AI17" s="7">
        <f>IF(AND(preços!AF18&lt;&gt;0,preços!AF17&lt;&gt;0),preços!AF18/preços!AF17 - 1,0)</f>
        <v>0</v>
      </c>
      <c r="AJ17" s="7">
        <f>IF(AND(preços!AG18&lt;&gt;0,preços!AG17&lt;&gt;0),preços!AG18/preços!AG17 - 1,0)</f>
        <v>0</v>
      </c>
      <c r="AK17" s="7">
        <f>IF(AND(preços!AH18&lt;&gt;0,preços!AH17&lt;&gt;0),preços!AH18/preços!AH17 - 1,0)</f>
        <v>0</v>
      </c>
      <c r="AL17" s="7">
        <f>IF(AND(preços!AI18&lt;&gt;0,preços!AI17&lt;&gt;0),preços!AI18/preços!AI17 - 1,0)</f>
        <v>0</v>
      </c>
      <c r="AM17" s="7">
        <f>IF(AND(preços!AJ18&lt;&gt;0,preços!AJ17&lt;&gt;0),preços!AJ18/preços!AJ17 - 1,0)</f>
        <v>0.17427385892116187</v>
      </c>
      <c r="AN17" s="7">
        <f>IF(AND(preços!AK18&lt;&gt;0,preços!AK17&lt;&gt;0),preços!AK18/preços!AK17 - 1,0)</f>
        <v>0</v>
      </c>
      <c r="AO17" s="7">
        <f>IF(AND(preços!AL18&lt;&gt;0,preços!AL17&lt;&gt;0),preços!AL18/preços!AL17 - 1,0)</f>
        <v>0</v>
      </c>
      <c r="AP17" s="7" cm="1">
        <f t="array" ref="AP17">AcumularA(A17,selic!$A$2:$B$6050)</f>
        <v>8.2218999346558519E-2</v>
      </c>
    </row>
    <row r="18" spans="1:44" x14ac:dyDescent="0.25">
      <c r="A18" s="2">
        <v>2014</v>
      </c>
      <c r="B18" s="7">
        <f t="shared" si="1"/>
        <v>-0.13957710439184434</v>
      </c>
      <c r="C18" s="7">
        <f t="shared" si="0"/>
        <v>0.55488676578108043</v>
      </c>
      <c r="D18" s="7">
        <f t="shared" si="2"/>
        <v>0.10904353952136026</v>
      </c>
      <c r="E18" s="7">
        <f>IF(AND(preços!B19&lt;&gt;0,preços!B18&lt;&gt;0),preços!B19/preços!B18 - 1,0)</f>
        <v>-0.23297491039426521</v>
      </c>
      <c r="F18" s="7">
        <f>IF(AND(preços!C19&lt;&gt;0,preços!C18&lt;&gt;0),preços!C19/preços!C18 - 1,0)</f>
        <v>0.110759493670886</v>
      </c>
      <c r="G18" s="7">
        <f>IF(AND(preços!D19&lt;&gt;0,preços!D18&lt;&gt;0),preços!D19/preços!D18 - 1,0)</f>
        <v>-0.28487804878048784</v>
      </c>
      <c r="H18" s="7">
        <f>IF(AND(preços!E19&lt;&gt;0,preços!E18&lt;&gt;0),preços!E19/preços!E18 - 1,0)</f>
        <v>-6.3655030800821466E-2</v>
      </c>
      <c r="I18" s="7">
        <f>IF(AND(preços!F19&lt;&gt;0,preços!F18&lt;&gt;0),preços!F19/preços!F18 - 1,0)</f>
        <v>-0.28189910979228494</v>
      </c>
      <c r="J18" s="7">
        <f>IF(AND(preços!G19&lt;&gt;0,preços!G18&lt;&gt;0),preços!G19/preços!G18 - 1,0)</f>
        <v>0.22571819425444617</v>
      </c>
      <c r="K18" s="7">
        <f>IF(AND(preços!H19&lt;&gt;0,preços!H18&lt;&gt;0),preços!H19/preços!H18 - 1,0)</f>
        <v>-0.1472772277227723</v>
      </c>
      <c r="L18" s="7">
        <f>IF(AND(preços!I19&lt;&gt;0,preços!I18&lt;&gt;0),preços!I19/preços!I18 - 1,0)</f>
        <v>4.4840626688276597E-2</v>
      </c>
      <c r="M18" s="7">
        <f>IF(AND(preços!J19&lt;&gt;0,preços!J18&lt;&gt;0),preços!J19/preços!J18 - 1,0)</f>
        <v>-7.8796561604584592E-2</v>
      </c>
      <c r="N18" s="7">
        <f>IF(AND(preços!K19&lt;&gt;0,preços!K18&lt;&gt;0),preços!K19/preços!K18 - 1,0)</f>
        <v>-5.7780695994747222E-2</v>
      </c>
      <c r="O18" s="7">
        <f>IF(AND(preços!L19&lt;&gt;0,preços!L18&lt;&gt;0),preços!L19/preços!L18 - 1,0)</f>
        <v>-6.0686015831134532E-2</v>
      </c>
      <c r="P18" s="7">
        <f>IF(AND(preços!M19&lt;&gt;0,preços!M18&lt;&gt;0),preços!M19/preços!M18 - 1,0)</f>
        <v>-0.69066666666666665</v>
      </c>
      <c r="Q18" s="7">
        <f>IF(AND(preços!N19&lt;&gt;0,preços!N18&lt;&gt;0),preços!N19/preços!N18 - 1,0)</f>
        <v>-0.2560192616372392</v>
      </c>
      <c r="R18" s="7">
        <f>IF(AND(preços!O19&lt;&gt;0,preços!O18&lt;&gt;0),preços!O19/preços!O18 - 1,0)</f>
        <v>-8.0103359173126609E-2</v>
      </c>
      <c r="S18" s="7">
        <f>IF(AND(preços!P19&lt;&gt;0,preços!P18&lt;&gt;0),preços!P19/preços!P18 - 1,0)</f>
        <v>0</v>
      </c>
      <c r="T18" s="7">
        <f>IF(AND(preços!Q19&lt;&gt;0,preços!Q18&lt;&gt;0),preços!Q19/preços!Q18 - 1,0)</f>
        <v>-8.4973166368515152E-2</v>
      </c>
      <c r="U18" s="7">
        <f>IF(AND(preços!R19&lt;&gt;0,preços!R18&lt;&gt;0),preços!R19/preços!R18 - 1,0)</f>
        <v>0</v>
      </c>
      <c r="V18" s="7">
        <f>IF(AND(preços!S19&lt;&gt;0,preços!S18&lt;&gt;0),preços!S19/preços!S18 - 1,0)</f>
        <v>-0.29484193011647253</v>
      </c>
      <c r="W18" s="7">
        <f>IF(AND(preços!T19&lt;&gt;0,preços!T18&lt;&gt;0),preços!T19/preços!T18 - 1,0)</f>
        <v>0</v>
      </c>
      <c r="X18" s="7">
        <f>IF(AND(preços!U19&lt;&gt;0,preços!U18&lt;&gt;0),preços!U19/preços!U18 - 1,0)</f>
        <v>0</v>
      </c>
      <c r="Y18" s="7">
        <f>IF(AND(preços!V19&lt;&gt;0,preços!V18&lt;&gt;0),preços!V19/preços!V18 - 1,0)</f>
        <v>0.68750000000000022</v>
      </c>
      <c r="Z18" s="7">
        <f>IF(AND(preços!W19&lt;&gt;0,preços!W18&lt;&gt;0),preços!W19/preços!W18 - 1,0)</f>
        <v>0</v>
      </c>
      <c r="AA18" s="7">
        <f>IF(AND(preços!X19&lt;&gt;0,preços!X18&lt;&gt;0),preços!X19/preços!X18 - 1,0)</f>
        <v>0.66086956521739126</v>
      </c>
      <c r="AB18" s="7">
        <f>IF(AND(preços!Y19&lt;&gt;0,preços!Y18&lt;&gt;0),preços!Y19/preços!Y18 - 1,0)</f>
        <v>0</v>
      </c>
      <c r="AC18" s="7">
        <f>IF(AND(preços!Z19&lt;&gt;0,preços!Z18&lt;&gt;0),preços!Z19/preços!Z18 - 1,0)</f>
        <v>0.47872340425531923</v>
      </c>
      <c r="AD18" s="7">
        <f>IF(AND(preços!AA19&lt;&gt;0,preços!AA18&lt;&gt;0),preços!AA19/preços!AA18 - 1,0)</f>
        <v>0.61584454409566525</v>
      </c>
      <c r="AE18" s="7">
        <f>IF(AND(preços!AB19&lt;&gt;0,preços!AB18&lt;&gt;0),preços!AB19/preços!AB18 - 1,0)</f>
        <v>0</v>
      </c>
      <c r="AF18" s="7">
        <f>IF(AND(preços!AC19&lt;&gt;0,preços!AC18&lt;&gt;0),preços!AC19/preços!AC18 - 1,0)</f>
        <v>0.68814968814968802</v>
      </c>
      <c r="AG18" s="7">
        <f>IF(AND(preços!AD19&lt;&gt;0,preços!AD18&lt;&gt;0),preços!AD19/preços!AD18 - 1,0)</f>
        <v>0</v>
      </c>
      <c r="AH18" s="7">
        <f>IF(AND(preços!AE19&lt;&gt;0,preços!AE18&lt;&gt;0),preços!AE19/preços!AE18 - 1,0)</f>
        <v>0</v>
      </c>
      <c r="AI18" s="7">
        <f>IF(AND(preços!AF19&lt;&gt;0,preços!AF18&lt;&gt;0),preços!AF19/preços!AF18 - 1,0)</f>
        <v>0.38916256157635476</v>
      </c>
      <c r="AJ18" s="7">
        <f>IF(AND(preços!AG19&lt;&gt;0,preços!AG18&lt;&gt;0),preços!AG19/preços!AG18 - 1,0)</f>
        <v>0</v>
      </c>
      <c r="AK18" s="7">
        <f>IF(AND(preços!AH19&lt;&gt;0,preços!AH18&lt;&gt;0),preços!AH19/preços!AH18 - 1,0)</f>
        <v>0</v>
      </c>
      <c r="AL18" s="7">
        <f>IF(AND(preços!AI19&lt;&gt;0,preços!AI18&lt;&gt;0),preços!AI19/preços!AI18 - 1,0)</f>
        <v>0</v>
      </c>
      <c r="AM18" s="7">
        <f>IF(AND(preços!AJ19&lt;&gt;0,preços!AJ18&lt;&gt;0),preços!AJ19/preços!AJ18 - 1,0)</f>
        <v>0.3639575971731448</v>
      </c>
      <c r="AN18" s="7">
        <f>IF(AND(preços!AK19&lt;&gt;0,preços!AK18&lt;&gt;0),preços!AK19/preços!AK18 - 1,0)</f>
        <v>0</v>
      </c>
      <c r="AO18" s="7">
        <f>IF(AND(preços!AL19&lt;&gt;0,preços!AL18&lt;&gt;0),preços!AL19/preços!AL18 - 1,0)</f>
        <v>0</v>
      </c>
      <c r="AP18" s="7" cm="1">
        <f t="array" ref="AP18">AcumularA(A18,selic!$A$2:$B$6050)</f>
        <v>0.10904353952136026</v>
      </c>
      <c r="AR18" s="5"/>
    </row>
    <row r="19" spans="1:44" x14ac:dyDescent="0.25">
      <c r="A19" s="2">
        <v>2015</v>
      </c>
      <c r="B19" s="7">
        <f t="shared" si="1"/>
        <v>-3.9141529076866521E-4</v>
      </c>
      <c r="C19" s="7">
        <f t="shared" si="0"/>
        <v>0.34321853196487173</v>
      </c>
      <c r="D19" s="7">
        <f t="shared" si="2"/>
        <v>0.13268181048577854</v>
      </c>
      <c r="E19" s="7">
        <f>IF(AND(preços!B20&lt;&gt;0,preços!B19&lt;&gt;0),preços!B20/preços!B19 - 1,0)</f>
        <v>-0.39641744548286606</v>
      </c>
      <c r="F19" s="7">
        <f>IF(AND(preços!C20&lt;&gt;0,preços!C19&lt;&gt;0),preços!C20/preços!C19 - 1,0)</f>
        <v>0.55555555555555558</v>
      </c>
      <c r="G19" s="7">
        <f>IF(AND(preços!D20&lt;&gt;0,preços!D19&lt;&gt;0),preços!D20/preços!D19 - 1,0)</f>
        <v>0.29877216916780358</v>
      </c>
      <c r="H19" s="7">
        <f>IF(AND(preços!E20&lt;&gt;0,preços!E19&lt;&gt;0),preços!E20/preços!E19 - 1,0)</f>
        <v>0.24122807017543879</v>
      </c>
      <c r="I19" s="7">
        <f>IF(AND(preços!F20&lt;&gt;0,preços!F19&lt;&gt;0),preços!F20/preços!F19 - 1,0)</f>
        <v>-1.6528925619834767E-2</v>
      </c>
      <c r="J19" s="7">
        <f>IF(AND(preços!G20&lt;&gt;0,preços!G19&lt;&gt;0),preços!G20/preços!G19 - 1,0)</f>
        <v>5.2455357142856984E-2</v>
      </c>
      <c r="K19" s="7">
        <f>IF(AND(preços!H20&lt;&gt;0,preços!H19&lt;&gt;0),preços!H20/preços!H19 - 1,0)</f>
        <v>-0.18432510885341069</v>
      </c>
      <c r="L19" s="7">
        <f>IF(AND(preços!I20&lt;&gt;0,preços!I19&lt;&gt;0),preços!I20/preços!I19 - 1,0)</f>
        <v>-5.3774560496380519E-2</v>
      </c>
      <c r="M19" s="7">
        <f>IF(AND(preços!J20&lt;&gt;0,preços!J19&lt;&gt;0),preços!J20/preços!J19 - 1,0)</f>
        <v>0.14618973561430804</v>
      </c>
      <c r="N19" s="7">
        <f>IF(AND(preços!K20&lt;&gt;0,preços!K19&lt;&gt;0),preços!K20/preços!K19 - 1,0)</f>
        <v>5.7839721254355325E-2</v>
      </c>
      <c r="O19" s="7">
        <f>IF(AND(preços!L20&lt;&gt;0,preços!L19&lt;&gt;0),preços!L20/preços!L19 - 1,0)</f>
        <v>-0.46816479400749067</v>
      </c>
      <c r="P19" s="7">
        <f>IF(AND(preços!M20&lt;&gt;0,preços!M19&lt;&gt;0),preços!M20/preços!M19 - 1,0)</f>
        <v>-0.6637931034482758</v>
      </c>
      <c r="Q19" s="7">
        <f>IF(AND(preços!N20&lt;&gt;0,preços!N19&lt;&gt;0),preços!N20/preços!N19 - 1,0)</f>
        <v>9.061488673139162E-2</v>
      </c>
      <c r="R19" s="7">
        <f>IF(AND(preços!O20&lt;&gt;0,preços!O19&lt;&gt;0),preços!O20/preços!O19 - 1,0)</f>
        <v>0.20084269662921361</v>
      </c>
      <c r="S19" s="7">
        <f>IF(AND(preços!P20&lt;&gt;0,preços!P19&lt;&gt;0),preços!P20/preços!P19 - 1,0)</f>
        <v>0</v>
      </c>
      <c r="T19" s="7">
        <f>IF(AND(preços!Q20&lt;&gt;0,preços!Q19&lt;&gt;0),preços!Q20/preços!Q19 - 1,0)</f>
        <v>0.21016617790811343</v>
      </c>
      <c r="U19" s="7">
        <f>IF(AND(preços!R20&lt;&gt;0,preços!R19&lt;&gt;0),preços!R20/preços!R19 - 1,0)</f>
        <v>0</v>
      </c>
      <c r="V19" s="7">
        <f>IF(AND(preços!S20&lt;&gt;0,preços!S19&lt;&gt;0),preços!S20/preços!S19 - 1,0)</f>
        <v>-7.6923076923077094E-2</v>
      </c>
      <c r="W19" s="7">
        <f>IF(AND(preços!T20&lt;&gt;0,preços!T19&lt;&gt;0),preços!T20/preços!T19 - 1,0)</f>
        <v>0</v>
      </c>
      <c r="X19" s="7">
        <f>IF(AND(preços!U20&lt;&gt;0,preços!U19&lt;&gt;0),preços!U20/preços!U19 - 1,0)</f>
        <v>0</v>
      </c>
      <c r="Y19" s="7">
        <f>IF(AND(preços!V20&lt;&gt;0,preços!V19&lt;&gt;0),preços!V20/preços!V19 - 1,0)</f>
        <v>0.2685185185185186</v>
      </c>
      <c r="Z19" s="7">
        <f>IF(AND(preços!W20&lt;&gt;0,preços!W19&lt;&gt;0),preços!W20/preços!W19 - 1,0)</f>
        <v>0</v>
      </c>
      <c r="AA19" s="7">
        <f>IF(AND(preços!X20&lt;&gt;0,preços!X19&lt;&gt;0),preços!X20/preços!X19 - 1,0)</f>
        <v>6.6317626527050644E-2</v>
      </c>
      <c r="AB19" s="7">
        <f>IF(AND(preços!Y20&lt;&gt;0,preços!Y19&lt;&gt;0),preços!Y20/preços!Y19 - 1,0)</f>
        <v>0</v>
      </c>
      <c r="AC19" s="7">
        <f>IF(AND(preços!Z20&lt;&gt;0,preços!Z19&lt;&gt;0),preços!Z20/preços!Z19 - 1,0)</f>
        <v>0.13848920863309355</v>
      </c>
      <c r="AD19" s="7">
        <f>IF(AND(preços!AA20&lt;&gt;0,preços!AA19&lt;&gt;0),preços!AA20/preços!AA19 - 1,0)</f>
        <v>0.44218316373728017</v>
      </c>
      <c r="AE19" s="7">
        <f>IF(AND(preços!AB20&lt;&gt;0,preços!AB19&lt;&gt;0),preços!AB20/preços!AB19 - 1,0)</f>
        <v>0</v>
      </c>
      <c r="AF19" s="7">
        <f>IF(AND(preços!AC20&lt;&gt;0,preços!AC19&lt;&gt;0),preços!AC20/preços!AC19 - 1,0)</f>
        <v>0.46305418719211855</v>
      </c>
      <c r="AG19" s="7">
        <f>IF(AND(preços!AD20&lt;&gt;0,preços!AD19&lt;&gt;0),preços!AD20/preços!AD19 - 1,0)</f>
        <v>0.15357142857142869</v>
      </c>
      <c r="AH19" s="7">
        <f>IF(AND(preços!AE20&lt;&gt;0,preços!AE19&lt;&gt;0),preços!AE20/preços!AE19 - 1,0)</f>
        <v>6.5945945945945939E-2</v>
      </c>
      <c r="AI19" s="7">
        <f>IF(AND(preços!AF20&lt;&gt;0,preços!AF19&lt;&gt;0),preços!AF20/preços!AF19 - 1,0)</f>
        <v>0.58156028368794344</v>
      </c>
      <c r="AJ19" s="7">
        <f>IF(AND(preços!AG20&lt;&gt;0,preços!AG19&lt;&gt;0),preços!AG20/preços!AG19 - 1,0)</f>
        <v>0</v>
      </c>
      <c r="AK19" s="7">
        <f>IF(AND(preços!AH20&lt;&gt;0,preços!AH19&lt;&gt;0),preços!AH20/preços!AH19 - 1,0)</f>
        <v>0</v>
      </c>
      <c r="AL19" s="7">
        <f>IF(AND(preços!AI20&lt;&gt;0,preços!AI19&lt;&gt;0),preços!AI20/preços!AI19 - 1,0)</f>
        <v>0</v>
      </c>
      <c r="AM19" s="7">
        <f>IF(AND(preços!AJ20&lt;&gt;0,preços!AJ19&lt;&gt;0),preços!AJ20/preços!AJ19 - 1,0)</f>
        <v>0.90932642487046644</v>
      </c>
      <c r="AN19" s="7">
        <f>IF(AND(preços!AK20&lt;&gt;0,preços!AK19&lt;&gt;0),preços!AK20/preços!AK19 - 1,0)</f>
        <v>0</v>
      </c>
      <c r="AO19" s="7">
        <f>IF(AND(preços!AL20&lt;&gt;0,preços!AL19&lt;&gt;0),preços!AL20/preços!AL19 - 1,0)</f>
        <v>0</v>
      </c>
      <c r="AP19" s="7" cm="1">
        <f t="array" ref="AP19">AcumularA(A19,selic!$A$2:$B$6050)</f>
        <v>0.13268181048577854</v>
      </c>
    </row>
    <row r="20" spans="1:44" x14ac:dyDescent="0.25">
      <c r="A20" s="2">
        <v>2016</v>
      </c>
      <c r="B20" s="7">
        <f t="shared" si="1"/>
        <v>-8.7955049007598804E-2</v>
      </c>
      <c r="C20" s="7">
        <f t="shared" si="0"/>
        <v>0.89723772666139701</v>
      </c>
      <c r="D20" s="7">
        <f t="shared" si="2"/>
        <v>0.14018573582685168</v>
      </c>
      <c r="E20" s="7">
        <f>IF(AND(preços!B21&lt;&gt;0,preços!B20&lt;&gt;0),preços!B21/preços!B20 - 1,0)</f>
        <v>-0.13806451612903226</v>
      </c>
      <c r="F20" s="7">
        <f>IF(AND(preços!C21&lt;&gt;0,preços!C20&lt;&gt;0),preços!C21/preços!C20 - 1,0)</f>
        <v>-1.098901098901095E-2</v>
      </c>
      <c r="G20" s="7">
        <f>IF(AND(preços!D21&lt;&gt;0,preços!D20&lt;&gt;0),preços!D21/preços!D20 - 1,0)</f>
        <v>0.29621848739495804</v>
      </c>
      <c r="H20" s="7">
        <f>IF(AND(preços!E21&lt;&gt;0,preços!E20&lt;&gt;0),preços!E21/preços!E20 - 1,0)</f>
        <v>-0.12720848056537093</v>
      </c>
      <c r="I20" s="7">
        <f>IF(AND(preços!F21&lt;&gt;0,preços!F20&lt;&gt;0),preços!F21/preços!F20 - 1,0)</f>
        <v>0.2100840336134453</v>
      </c>
      <c r="J20" s="7">
        <f>IF(AND(preços!G21&lt;&gt;0,preços!G20&lt;&gt;0),preços!G21/preços!G20 - 1,0)</f>
        <v>1.8027571580063517E-2</v>
      </c>
      <c r="K20" s="7">
        <f>IF(AND(preços!H21&lt;&gt;0,preços!H20&lt;&gt;0),preços!H21/preços!H20 - 1,0)</f>
        <v>6.0498220640569311E-2</v>
      </c>
      <c r="L20" s="7">
        <f>IF(AND(preços!I21&lt;&gt;0,preços!I20&lt;&gt;0),preços!I21/preços!I20 - 1,0)</f>
        <v>0.12459016393442601</v>
      </c>
      <c r="M20" s="7">
        <f>IF(AND(preços!J21&lt;&gt;0,preços!J20&lt;&gt;0),preços!J21/preços!J20 - 1,0)</f>
        <v>8.6838534599728678E-2</v>
      </c>
      <c r="N20" s="7">
        <f>IF(AND(preços!K21&lt;&gt;0,preços!K20&lt;&gt;0),preços!K21/preços!K20 - 1,0)</f>
        <v>-0.25955204216073779</v>
      </c>
      <c r="O20" s="7">
        <f>IF(AND(preços!L21&lt;&gt;0,preços!L20&lt;&gt;0),preços!L21/preços!L20 - 1,0)</f>
        <v>-0.63380281690140849</v>
      </c>
      <c r="P20" s="7">
        <f>IF(AND(preços!M21&lt;&gt;0,preços!M20&lt;&gt;0),preços!M21/preços!M20 - 1,0)</f>
        <v>-0.62564102564102564</v>
      </c>
      <c r="Q20" s="7">
        <f>IF(AND(preços!N21&lt;&gt;0,preços!N20&lt;&gt;0),preços!N21/preços!N20 - 1,0)</f>
        <v>-1.9782393669633969E-3</v>
      </c>
      <c r="R20" s="7">
        <f>IF(AND(preços!O21&lt;&gt;0,preços!O20&lt;&gt;0),preços!O21/preços!O20 - 1,0)</f>
        <v>1.8713450292397571E-2</v>
      </c>
      <c r="S20" s="7">
        <f>IF(AND(preços!P21&lt;&gt;0,preços!P20&lt;&gt;0),preços!P21/preços!P20 - 1,0)</f>
        <v>0</v>
      </c>
      <c r="T20" s="7">
        <f>IF(AND(preços!Q21&lt;&gt;0,preços!Q20&lt;&gt;0),preços!Q21/preços!Q20 - 1,0)</f>
        <v>-0.26090468497576735</v>
      </c>
      <c r="U20" s="7">
        <f>IF(AND(preços!R21&lt;&gt;0,preços!R20&lt;&gt;0),preços!R21/preços!R20 - 1,0)</f>
        <v>0</v>
      </c>
      <c r="V20" s="7">
        <f>IF(AND(preços!S21&lt;&gt;0,preços!S20&lt;&gt;0),preços!S21/preços!S20 - 1,0)</f>
        <v>-0.16411042944785259</v>
      </c>
      <c r="W20" s="7">
        <f>IF(AND(preços!T21&lt;&gt;0,preços!T20&lt;&gt;0),preços!T21/preços!T20 - 1,0)</f>
        <v>0</v>
      </c>
      <c r="X20" s="7">
        <f>IF(AND(preços!U21&lt;&gt;0,preços!U20&lt;&gt;0),preços!U21/preços!U20 - 1,0)</f>
        <v>0</v>
      </c>
      <c r="Y20" s="7">
        <f>IF(AND(preços!V21&lt;&gt;0,preços!V20&lt;&gt;0),preços!V21/preços!V20 - 1,0)</f>
        <v>1.0340632603406323</v>
      </c>
      <c r="Z20" s="7">
        <f>IF(AND(preços!W21&lt;&gt;0,preços!W20&lt;&gt;0),preços!W21/preços!W20 - 1,0)</f>
        <v>0</v>
      </c>
      <c r="AA20" s="7">
        <f>IF(AND(preços!X21&lt;&gt;0,preços!X20&lt;&gt;0),preços!X21/preços!X20 - 1,0)</f>
        <v>1.4500818330605565</v>
      </c>
      <c r="AB20" s="7">
        <f>IF(AND(preços!Y21&lt;&gt;0,preços!Y20&lt;&gt;0),preços!Y21/preços!Y20 - 1,0)</f>
        <v>0</v>
      </c>
      <c r="AC20" s="7">
        <f>IF(AND(preços!Z21&lt;&gt;0,preços!Z20&lt;&gt;0),preços!Z21/preços!Z20 - 1,0)</f>
        <v>0.61216429699842023</v>
      </c>
      <c r="AD20" s="7">
        <f>IF(AND(preços!AA21&lt;&gt;0,preços!AA20&lt;&gt;0),preços!AA21/preços!AA20 - 1,0)</f>
        <v>0.54137267479153306</v>
      </c>
      <c r="AE20" s="7">
        <f>IF(AND(preços!AB21&lt;&gt;0,preços!AB20&lt;&gt;0),preços!AB21/preços!AB20 - 1,0)</f>
        <v>0</v>
      </c>
      <c r="AF20" s="7">
        <f>IF(AND(preços!AC21&lt;&gt;0,preços!AC20&lt;&gt;0),preços!AC21/preços!AC20 - 1,0)</f>
        <v>0.9722222222222221</v>
      </c>
      <c r="AG20" s="7">
        <f>IF(AND(preços!AD21&lt;&gt;0,preços!AD20&lt;&gt;0),preços!AD21/preços!AD20 - 1,0)</f>
        <v>1.2755417956656347</v>
      </c>
      <c r="AH20" s="7">
        <f>IF(AND(preços!AE21&lt;&gt;0,preços!AE20&lt;&gt;0),preços!AE21/preços!AE20 - 1,0)</f>
        <v>1.1967545638945234</v>
      </c>
      <c r="AI20" s="7">
        <f>IF(AND(preços!AF21&lt;&gt;0,preços!AF20&lt;&gt;0),preços!AF21/preços!AF20 - 1,0)</f>
        <v>0.76905829596412545</v>
      </c>
      <c r="AJ20" s="7">
        <f>IF(AND(preços!AG21&lt;&gt;0,preços!AG20&lt;&gt;0),preços!AG21/preços!AG20 - 1,0)</f>
        <v>0</v>
      </c>
      <c r="AK20" s="7">
        <f>IF(AND(preços!AH21&lt;&gt;0,preços!AH20&lt;&gt;0),preços!AH21/preços!AH20 - 1,0)</f>
        <v>0</v>
      </c>
      <c r="AL20" s="7">
        <f>IF(AND(preços!AI21&lt;&gt;0,preços!AI20&lt;&gt;0),preços!AI21/preços!AI20 - 1,0)</f>
        <v>0</v>
      </c>
      <c r="AM20" s="7">
        <f>IF(AND(preços!AJ21&lt;&gt;0,preços!AJ20&lt;&gt;0),preços!AJ21/preços!AJ20 - 1,0)</f>
        <v>0.22388059701492535</v>
      </c>
      <c r="AN20" s="7">
        <f>IF(AND(preços!AK21&lt;&gt;0,preços!AK20&lt;&gt;0),preços!AK21/preços!AK20 - 1,0)</f>
        <v>0</v>
      </c>
      <c r="AO20" s="7">
        <f>IF(AND(preços!AL21&lt;&gt;0,preços!AL20&lt;&gt;0),preços!AL21/preços!AL20 - 1,0)</f>
        <v>0</v>
      </c>
      <c r="AP20" s="7" cm="1">
        <f t="array" ref="AP20">AcumularA(A20,selic!$A$2:$B$6050)</f>
        <v>0.14018573582685168</v>
      </c>
    </row>
    <row r="21" spans="1:44" x14ac:dyDescent="0.25">
      <c r="A21" s="2">
        <v>2017</v>
      </c>
      <c r="B21" s="7">
        <f t="shared" si="1"/>
        <v>0.80767230113868571</v>
      </c>
      <c r="C21" s="7">
        <f t="shared" si="0"/>
        <v>-5.7397524592768534E-4</v>
      </c>
      <c r="D21" s="7">
        <f t="shared" si="2"/>
        <v>9.9393261761569818E-2</v>
      </c>
      <c r="E21" s="7">
        <f>IF(AND(preços!B22&lt;&gt;0,preços!B21&lt;&gt;0),preços!B22/preços!B21 - 1,0)</f>
        <v>1.3368263473053892</v>
      </c>
      <c r="F21" s="7">
        <f>IF(AND(preços!C22&lt;&gt;0,preços!C21&lt;&gt;0),preços!C22/preços!C21 - 1,0)</f>
        <v>5.555555555555558E-2</v>
      </c>
      <c r="G21" s="7">
        <f>IF(AND(preços!D22&lt;&gt;0,preços!D21&lt;&gt;0),preços!D22/preços!D21 - 1,0)</f>
        <v>0.37439222042139386</v>
      </c>
      <c r="H21" s="7">
        <f>IF(AND(preços!E22&lt;&gt;0,preços!E21&lt;&gt;0),preços!E22/preços!E21 - 1,0)</f>
        <v>0.67004048582995934</v>
      </c>
      <c r="I21" s="7">
        <f>IF(AND(preços!F22&lt;&gt;0,preços!F21&lt;&gt;0),preços!F22/preços!F21 - 1,0)</f>
        <v>0.85763888888888884</v>
      </c>
      <c r="J21" s="7">
        <f>IF(AND(preços!G22&lt;&gt;0,preços!G21&lt;&gt;0),preços!G22/preços!G21 - 1,0)</f>
        <v>4.8958333333333437E-2</v>
      </c>
      <c r="K21" s="7">
        <f>IF(AND(preços!H22&lt;&gt;0,preços!H21&lt;&gt;0),preços!H22/preços!H21 - 1,0)</f>
        <v>1.7835570469798658</v>
      </c>
      <c r="L21" s="7">
        <f>IF(AND(preços!I22&lt;&gt;0,preços!I21&lt;&gt;0),preços!I22/preços!I21 - 1,0)</f>
        <v>0.11224489795918369</v>
      </c>
      <c r="M21" s="7">
        <f>IF(AND(preços!J22&lt;&gt;0,preços!J21&lt;&gt;0),preços!J22/preços!J21 - 1,0)</f>
        <v>-4.0574282147315843E-2</v>
      </c>
      <c r="N21" s="7">
        <f>IF(AND(preços!K22&lt;&gt;0,preços!K21&lt;&gt;0),preços!K22/preços!K21 - 1,0)</f>
        <v>1.3496441281138791</v>
      </c>
      <c r="O21" s="7">
        <f>IF(AND(preços!L22&lt;&gt;0,preços!L21&lt;&gt;0),preços!L22/preços!L21 - 1,0)</f>
        <v>2.3413461538461537</v>
      </c>
      <c r="P21" s="7">
        <f>IF(AND(preços!M22&lt;&gt;0,preços!M21&lt;&gt;0),preços!M22/preços!M21 - 1,0)</f>
        <v>2.5890410958904111</v>
      </c>
      <c r="Q21" s="7">
        <f>IF(AND(preços!N22&lt;&gt;0,preços!N21&lt;&gt;0),preços!N22/preços!N21 - 1,0)</f>
        <v>-0.16749256689791869</v>
      </c>
      <c r="R21" s="7">
        <f>IF(AND(preços!O22&lt;&gt;0,preços!O21&lt;&gt;0),preços!O22/preços!O21 - 1,0)</f>
        <v>0.14236509758897808</v>
      </c>
      <c r="S21" s="7">
        <f>IF(AND(preços!P22&lt;&gt;0,preços!P21&lt;&gt;0),preços!P22/preços!P21 - 1,0)</f>
        <v>0</v>
      </c>
      <c r="T21" s="7">
        <f>IF(AND(preços!Q22&lt;&gt;0,preços!Q21&lt;&gt;0),preços!Q22/preços!Q21 - 1,0)</f>
        <v>0.88633879781420766</v>
      </c>
      <c r="U21" s="7">
        <f>IF(AND(preços!R22&lt;&gt;0,preços!R21&lt;&gt;0),preços!R22/preços!R21 - 1,0)</f>
        <v>0</v>
      </c>
      <c r="V21" s="7">
        <f>IF(AND(preços!S22&lt;&gt;0,preços!S21&lt;&gt;0),preços!S22/preços!S21 - 1,0)</f>
        <v>0.58287461773700278</v>
      </c>
      <c r="W21" s="7">
        <f>IF(AND(preços!T22&lt;&gt;0,preços!T21&lt;&gt;0),preços!T22/preços!T21 - 1,0)</f>
        <v>0</v>
      </c>
      <c r="X21" s="7">
        <f>IF(AND(preços!U22&lt;&gt;0,preços!U21&lt;&gt;0),preços!U22/preços!U21 - 1,0)</f>
        <v>0</v>
      </c>
      <c r="Y21" s="7">
        <f>IF(AND(preços!V22&lt;&gt;0,preços!V21&lt;&gt;0),preços!V22/preços!V21 - 1,0)</f>
        <v>-5.3827751196172113E-2</v>
      </c>
      <c r="Z21" s="7">
        <f>IF(AND(preços!W22&lt;&gt;0,preços!W21&lt;&gt;0),preços!W22/preços!W21 - 1,0)</f>
        <v>0</v>
      </c>
      <c r="AA21" s="7">
        <f>IF(AND(preços!X22&lt;&gt;0,preços!X21&lt;&gt;0),preços!X22/preços!X21 - 1,0)</f>
        <v>0.10220440881763526</v>
      </c>
      <c r="AB21" s="7">
        <f>IF(AND(preços!Y22&lt;&gt;0,preços!Y21&lt;&gt;0),preços!Y22/preços!Y21 - 1,0)</f>
        <v>0</v>
      </c>
      <c r="AC21" s="7">
        <f>IF(AND(preços!Z22&lt;&gt;0,preços!Z21&lt;&gt;0),preços!Z22/preços!Z21 - 1,0)</f>
        <v>0.15825575698187166</v>
      </c>
      <c r="AD21" s="7">
        <f>IF(AND(preços!AA22&lt;&gt;0,preços!AA21&lt;&gt;0),preços!AA22/preços!AA21 - 1,0)</f>
        <v>-7.4906367041198574E-2</v>
      </c>
      <c r="AE21" s="7">
        <f>IF(AND(preços!AB22&lt;&gt;0,preços!AB21&lt;&gt;0),preços!AB22/preços!AB21 - 1,0)</f>
        <v>0</v>
      </c>
      <c r="AF21" s="7">
        <f>IF(AND(preços!AC22&lt;&gt;0,preços!AC21&lt;&gt;0),preços!AC22/preços!AC21 - 1,0)</f>
        <v>0</v>
      </c>
      <c r="AG21" s="7">
        <f>IF(AND(preços!AD22&lt;&gt;0,preços!AD21&lt;&gt;0),preços!AD22/preços!AD21 - 1,0)</f>
        <v>0.18775510204081636</v>
      </c>
      <c r="AH21" s="7">
        <f>IF(AND(preços!AE22&lt;&gt;0,preços!AE21&lt;&gt;0),preços!AE22/preços!AE21 - 1,0)</f>
        <v>-0.20129270544783007</v>
      </c>
      <c r="AI21" s="7">
        <f>IF(AND(preços!AF22&lt;&gt;0,preços!AF21&lt;&gt;0),preços!AF22/preços!AF21 - 1,0)</f>
        <v>-0.11723700887198985</v>
      </c>
      <c r="AJ21" s="7">
        <f>IF(AND(preços!AG22&lt;&gt;0,preços!AG21&lt;&gt;0),preços!AG22/preços!AG21 - 1,0)</f>
        <v>0</v>
      </c>
      <c r="AK21" s="7">
        <f>IF(AND(preços!AH22&lt;&gt;0,preços!AH21&lt;&gt;0),preços!AH22/preços!AH21 - 1,0)</f>
        <v>0</v>
      </c>
      <c r="AL21" s="7">
        <f>IF(AND(preços!AI22&lt;&gt;0,preços!AI21&lt;&gt;0),preços!AI22/preços!AI21 - 1,0)</f>
        <v>0</v>
      </c>
      <c r="AM21" s="7">
        <f>IF(AND(preços!AJ22&lt;&gt;0,preços!AJ21&lt;&gt;0),preços!AJ22/preços!AJ21 - 1,0)</f>
        <v>-5.5432372505541672E-3</v>
      </c>
      <c r="AN21" s="7">
        <f>IF(AND(preços!AK22&lt;&gt;0,preços!AK21&lt;&gt;0),preços!AK22/preços!AK21 - 1,0)</f>
        <v>0</v>
      </c>
      <c r="AO21" s="7">
        <f>IF(AND(preços!AL22&lt;&gt;0,preços!AL21&lt;&gt;0),preços!AL22/preços!AL21 - 1,0)</f>
        <v>0</v>
      </c>
      <c r="AP21" s="7" cm="1">
        <f t="array" ref="AP21">AcumularA(A21,selic!$A$2:$B$6050)</f>
        <v>9.9393261761569818E-2</v>
      </c>
    </row>
    <row r="22" spans="1:44" x14ac:dyDescent="0.25">
      <c r="A22" s="2">
        <v>2018</v>
      </c>
      <c r="B22" s="7">
        <f t="shared" si="1"/>
        <v>0.60582495286371107</v>
      </c>
      <c r="C22" s="7">
        <f t="shared" si="0"/>
        <v>0.51854833856374993</v>
      </c>
      <c r="D22" s="7">
        <f t="shared" si="2"/>
        <v>6.4287605846062856E-2</v>
      </c>
      <c r="E22" s="7">
        <f>IF(AND(preços!B23&lt;&gt;0,preços!B22&lt;&gt;0),preços!B23/preços!B22 - 1,0)</f>
        <v>0.31582319026265204</v>
      </c>
      <c r="F22" s="7">
        <f>IF(AND(preços!C23&lt;&gt;0,preços!C22&lt;&gt;0),preços!C23/preços!C22 - 1,0)</f>
        <v>0.51929824561403515</v>
      </c>
      <c r="G22" s="7">
        <f>IF(AND(preços!D23&lt;&gt;0,preços!D22&lt;&gt;0),preços!D23/preços!D22 - 1,0)</f>
        <v>0.76768867924528306</v>
      </c>
      <c r="H22" s="7">
        <f>IF(AND(preços!E23&lt;&gt;0,preços!E22&lt;&gt;0),preços!E23/preços!E22 - 1,0)</f>
        <v>0.43878787878787873</v>
      </c>
      <c r="I22" s="7">
        <f>IF(AND(preços!F23&lt;&gt;0,preços!F22&lt;&gt;0),preços!F23/preços!F22 - 1,0)</f>
        <v>0.43925233644859829</v>
      </c>
      <c r="J22" s="7">
        <f>IF(AND(preços!G23&lt;&gt;0,preços!G22&lt;&gt;0),preços!G23/preços!G22 - 1,0)</f>
        <v>0.75968222442899691</v>
      </c>
      <c r="K22" s="7">
        <f>IF(AND(preços!H23&lt;&gt;0,preços!H22&lt;&gt;0),preços!H23/preços!H22 - 1,0)</f>
        <v>0.6148282097649187</v>
      </c>
      <c r="L22" s="7">
        <f>IF(AND(preços!I23&lt;&gt;0,preços!I22&lt;&gt;0),preços!I23/preços!I22 - 1,0)</f>
        <v>4.1065967671472192E-2</v>
      </c>
      <c r="M22" s="7">
        <f>IF(AND(preços!J23&lt;&gt;0,preços!J22&lt;&gt;0),preços!J23/preços!J22 - 1,0)</f>
        <v>0.30644111906311</v>
      </c>
      <c r="N22" s="7">
        <f>IF(AND(preços!K23&lt;&gt;0,preços!K22&lt;&gt;0),preços!K23/preços!K22 - 1,0)</f>
        <v>0.31541082923135177</v>
      </c>
      <c r="O22" s="7">
        <f>IF(AND(preços!L23&lt;&gt;0,preços!L22&lt;&gt;0),preços!L23/preços!L22 - 1,0)</f>
        <v>0.4402877697841725</v>
      </c>
      <c r="P22" s="7">
        <f>IF(AND(preços!M23&lt;&gt;0,preços!M22&lt;&gt;0),preços!M23/preços!M22 - 1,0)</f>
        <v>2.3702290076335877</v>
      </c>
      <c r="Q22" s="7">
        <f>IF(AND(preços!N23&lt;&gt;0,preços!N22&lt;&gt;0),preços!N23/preços!N22 - 1,0)</f>
        <v>0.26071428571428568</v>
      </c>
      <c r="R22" s="7">
        <f>IF(AND(preços!O23&lt;&gt;0,preços!O22&lt;&gt;0),preços!O23/preços!O22 - 1,0)</f>
        <v>0.54472361809045222</v>
      </c>
      <c r="S22" s="7">
        <f>IF(AND(preços!P23&lt;&gt;0,preços!P22&lt;&gt;0),preços!P23/preços!P22 - 1,0)</f>
        <v>0</v>
      </c>
      <c r="T22" s="7">
        <f>IF(AND(preços!Q23&lt;&gt;0,preços!Q22&lt;&gt;0),preços!Q23/preços!Q22 - 1,0)</f>
        <v>0.39629200463499425</v>
      </c>
      <c r="U22" s="7">
        <f>IF(AND(preços!R23&lt;&gt;0,preços!R22&lt;&gt;0),preços!R23/preços!R22 - 1,0)</f>
        <v>0</v>
      </c>
      <c r="V22" s="7">
        <f>IF(AND(preços!S23&lt;&gt;0,preços!S22&lt;&gt;0),preços!S23/preços!S22 - 1,0)</f>
        <v>1.1626738794435858</v>
      </c>
      <c r="W22" s="7">
        <f>IF(AND(preços!T23&lt;&gt;0,preços!T22&lt;&gt;0),preços!T23/preços!T22 - 1,0)</f>
        <v>0</v>
      </c>
      <c r="X22" s="7">
        <f>IF(AND(preços!U23&lt;&gt;0,preços!U22&lt;&gt;0),preços!U23/preços!U22 - 1,0)</f>
        <v>0</v>
      </c>
      <c r="Y22" s="7">
        <f>IF(AND(preços!V23&lt;&gt;0,preços!V22&lt;&gt;0),preços!V23/preços!V22 - 1,0)</f>
        <v>0.51201011378002526</v>
      </c>
      <c r="Z22" s="7">
        <f>IF(AND(preços!W23&lt;&gt;0,preços!W22&lt;&gt;0),preços!W23/preços!W22 - 1,0)</f>
        <v>0</v>
      </c>
      <c r="AA22" s="7">
        <f>IF(AND(preços!X23&lt;&gt;0,preços!X22&lt;&gt;0),preços!X23/preços!X22 - 1,0)</f>
        <v>0.80484848484848492</v>
      </c>
      <c r="AB22" s="7">
        <f>IF(AND(preços!Y23&lt;&gt;0,preços!Y22&lt;&gt;0),preços!Y23/preços!Y22 - 1,0)</f>
        <v>0.46167247386759591</v>
      </c>
      <c r="AC22" s="7">
        <f>IF(AND(preços!Z23&lt;&gt;0,preços!Z22&lt;&gt;0),preços!Z23/preços!Z22 - 1,0)</f>
        <v>0.42724196277495774</v>
      </c>
      <c r="AD22" s="7">
        <f>IF(AND(preços!AA23&lt;&gt;0,preços!AA22&lt;&gt;0),preços!AA23/preços!AA22 - 1,0)</f>
        <v>1.8893387314439902E-2</v>
      </c>
      <c r="AE22" s="7">
        <f>IF(AND(preços!AB23&lt;&gt;0,preços!AB22&lt;&gt;0),preços!AB23/preços!AB22 - 1,0)</f>
        <v>0</v>
      </c>
      <c r="AF22" s="7">
        <f>IF(AND(preços!AC23&lt;&gt;0,preços!AC22&lt;&gt;0),preços!AC23/preços!AC22 - 1,0)</f>
        <v>0</v>
      </c>
      <c r="AG22" s="7">
        <f>IF(AND(preços!AD23&lt;&gt;0,preços!AD22&lt;&gt;0),preços!AD23/preços!AD22 - 1,0)</f>
        <v>1.0114547537227949</v>
      </c>
      <c r="AH22" s="7">
        <f>IF(AND(preços!AE23&lt;&gt;0,preços!AE22&lt;&gt;0),preços!AE23/preços!AE22 - 1,0)</f>
        <v>0.46416184971098251</v>
      </c>
      <c r="AI22" s="7">
        <f>IF(AND(preços!AF23&lt;&gt;0,preços!AF22&lt;&gt;0),preços!AF23/preços!AF22 - 1,0)</f>
        <v>0.5340990667623835</v>
      </c>
      <c r="AJ22" s="7">
        <f>IF(AND(preços!AG23&lt;&gt;0,preços!AG22&lt;&gt;0),preços!AG23/preços!AG22 - 1,0)</f>
        <v>0</v>
      </c>
      <c r="AK22" s="7">
        <f>IF(AND(preços!AH23&lt;&gt;0,preços!AH22&lt;&gt;0),preços!AH23/preços!AH22 - 1,0)</f>
        <v>0</v>
      </c>
      <c r="AL22" s="7">
        <f>IF(AND(preços!AI23&lt;&gt;0,preços!AI22&lt;&gt;0),preços!AI23/preços!AI22 - 1,0)</f>
        <v>0</v>
      </c>
      <c r="AM22" s="7">
        <f>IF(AND(preços!AJ23&lt;&gt;0,preços!AJ22&lt;&gt;0),preços!AJ23/preços!AJ22 - 1,0)</f>
        <v>0.43255295429208451</v>
      </c>
      <c r="AN22" s="7">
        <f>IF(AND(preços!AK23&lt;&gt;0,preços!AK22&lt;&gt;0),preços!AK23/preços!AK22 - 1,0)</f>
        <v>0</v>
      </c>
      <c r="AO22" s="7">
        <f>IF(AND(preços!AL23&lt;&gt;0,preços!AL22&lt;&gt;0),preços!AL23/preços!AL22 - 1,0)</f>
        <v>0</v>
      </c>
      <c r="AP22" s="7" cm="1">
        <f t="array" ref="AP22">AcumularA(A22,selic!$A$2:$B$6050)</f>
        <v>6.4287605846062856E-2</v>
      </c>
    </row>
    <row r="23" spans="1:44" x14ac:dyDescent="0.25">
      <c r="A23" s="2">
        <v>2019</v>
      </c>
      <c r="B23" s="7">
        <f t="shared" si="1"/>
        <v>0.18780247000873906</v>
      </c>
      <c r="C23" s="7">
        <f t="shared" si="0"/>
        <v>0.19646065076768118</v>
      </c>
      <c r="D23" s="7">
        <f t="shared" si="2"/>
        <v>5.9598618337417975E-2</v>
      </c>
      <c r="E23" s="7">
        <f>IF(AND(preços!B24&lt;&gt;0,preços!B23&lt;&gt;0),preços!B24/preços!B23 - 1,0)</f>
        <v>0.40068159688412863</v>
      </c>
      <c r="F23" s="7">
        <f>IF(AND(preços!C24&lt;&gt;0,preços!C23&lt;&gt;0),preços!C24/preços!C23 - 1,0)</f>
        <v>5.1963048498845144E-2</v>
      </c>
      <c r="G23" s="7">
        <f>IF(AND(preços!D24&lt;&gt;0,preços!D23&lt;&gt;0),preços!D24/preços!D23 - 1,0)</f>
        <v>0.2184789859906604</v>
      </c>
      <c r="H23" s="7">
        <f>IF(AND(preços!E24&lt;&gt;0,preços!E23&lt;&gt;0),preços!E24/preços!E23 - 1,0)</f>
        <v>0.1983993260320136</v>
      </c>
      <c r="I23" s="7">
        <f>IF(AND(preços!F24&lt;&gt;0,preços!F23&lt;&gt;0),preços!F24/preços!F23 - 1,0)</f>
        <v>0.24415584415584424</v>
      </c>
      <c r="J23" s="7">
        <f>IF(AND(preços!G24&lt;&gt;0,preços!G23&lt;&gt;0),preços!G24/preços!G23 - 1,0)</f>
        <v>0.38431151241535</v>
      </c>
      <c r="K23" s="7">
        <f>IF(AND(preços!H24&lt;&gt;0,preços!H23&lt;&gt;0),preços!H24/preços!H23 - 1,0)</f>
        <v>-0.22993654348637549</v>
      </c>
      <c r="L23" s="7">
        <f>IF(AND(preços!I24&lt;&gt;0,preços!I23&lt;&gt;0),preços!I24/preços!I23 - 1,0)</f>
        <v>0.63155686109945464</v>
      </c>
      <c r="M23" s="7">
        <f>IF(AND(preços!J24&lt;&gt;0,preços!J23&lt;&gt;0),preços!J24/preços!J23 - 1,0)</f>
        <v>-0.17629482071713143</v>
      </c>
      <c r="N23" s="7">
        <f>IF(AND(preços!K24&lt;&gt;0,preços!K23&lt;&gt;0),preços!K24/preços!K23 - 1,0)</f>
        <v>0.36298215313759341</v>
      </c>
      <c r="O23" s="7">
        <f>IF(AND(preços!L24&lt;&gt;0,preços!L23&lt;&gt;0),preços!L24/preços!L23 - 1,0)</f>
        <v>5.8941058941058833E-2</v>
      </c>
      <c r="P23" s="7">
        <f>IF(AND(preços!M24&lt;&gt;0,preços!M23&lt;&gt;0),preços!M24/preços!M23 - 1,0)</f>
        <v>0.30237825594563983</v>
      </c>
      <c r="Q23" s="7">
        <f>IF(AND(preços!N24&lt;&gt;0,preços!N23&lt;&gt;0),preços!N24/preços!N23 - 1,0)</f>
        <v>3.4938621340887765E-2</v>
      </c>
      <c r="R23" s="7">
        <f>IF(AND(preços!O24&lt;&gt;0,preços!O23&lt;&gt;0),preços!O24/preços!O23 - 1,0)</f>
        <v>3.9037085230970714E-3</v>
      </c>
      <c r="S23" s="7">
        <f>IF(AND(preços!P24&lt;&gt;0,preços!P23&lt;&gt;0),preços!P24/preços!P23 - 1,0)</f>
        <v>0</v>
      </c>
      <c r="T23" s="7">
        <f>IF(AND(preços!Q24&lt;&gt;0,preços!Q23&lt;&gt;0),preços!Q24/preços!Q23 - 1,0)</f>
        <v>0.16473029045643139</v>
      </c>
      <c r="U23" s="7">
        <f>IF(AND(preços!R24&lt;&gt;0,preços!R23&lt;&gt;0),preços!R24/preços!R23 - 1,0)</f>
        <v>0</v>
      </c>
      <c r="V23" s="7">
        <f>IF(AND(preços!S24&lt;&gt;0,preços!S23&lt;&gt;0),preços!S24/preços!S23 - 1,0)</f>
        <v>-5.4136144363051697E-2</v>
      </c>
      <c r="W23" s="7">
        <f>IF(AND(preços!T24&lt;&gt;0,preços!T23&lt;&gt;0),preços!T24/preços!T23 - 1,0)</f>
        <v>0.59558823529411753</v>
      </c>
      <c r="X23" s="7">
        <f>IF(AND(preços!U24&lt;&gt;0,preços!U23&lt;&gt;0),preços!U24/preços!U23 - 1,0)</f>
        <v>0</v>
      </c>
      <c r="Y23" s="7">
        <f>IF(AND(preços!V24&lt;&gt;0,preços!V23&lt;&gt;0),preços!V24/preços!V23 - 1,0)</f>
        <v>0.30518394648829417</v>
      </c>
      <c r="Z23" s="7">
        <f>IF(AND(preços!W24&lt;&gt;0,preços!W23&lt;&gt;0),preços!W24/preços!W23 - 1,0)</f>
        <v>-2.2566995768688369E-2</v>
      </c>
      <c r="AA23" s="7">
        <f>IF(AND(preços!X24&lt;&gt;0,preços!X23&lt;&gt;0),preços!X24/preços!X23 - 1,0)</f>
        <v>0.33747481531228996</v>
      </c>
      <c r="AB23" s="7">
        <f>IF(AND(preços!Y24&lt;&gt;0,preços!Y23&lt;&gt;0),preços!Y24/preços!Y23 - 1,0)</f>
        <v>8.0651569328565653E-2</v>
      </c>
      <c r="AC23" s="7">
        <f>IF(AND(preços!Z24&lt;&gt;0,preços!Z23&lt;&gt;0),preços!Z24/preços!Z23 - 1,0)</f>
        <v>4.445761707172502E-2</v>
      </c>
      <c r="AD23" s="7">
        <f>IF(AND(preços!AA24&lt;&gt;0,preços!AA23&lt;&gt;0),preços!AA24/preços!AA23 - 1,0)</f>
        <v>0.18145695364238423</v>
      </c>
      <c r="AE23" s="7">
        <f>IF(AND(preços!AB24&lt;&gt;0,preços!AB23&lt;&gt;0),preços!AB24/preços!AB23 - 1,0)</f>
        <v>0</v>
      </c>
      <c r="AF23" s="7">
        <f>IF(AND(preços!AC24&lt;&gt;0,preços!AC23&lt;&gt;0),preços!AC24/preços!AC23 - 1,0)</f>
        <v>0.36479471448796597</v>
      </c>
      <c r="AG23" s="7">
        <f>IF(AND(preços!AD24&lt;&gt;0,preços!AD23&lt;&gt;0),preços!AD24/preços!AD23 - 1,0)</f>
        <v>0.41116173120728949</v>
      </c>
      <c r="AH23" s="7">
        <f>IF(AND(preços!AE24&lt;&gt;0,preços!AE23&lt;&gt;0),preços!AE24/preços!AE23 - 1,0)</f>
        <v>0.24555862613501778</v>
      </c>
      <c r="AI23" s="7">
        <f>IF(AND(preços!AF24&lt;&gt;0,preços!AF23&lt;&gt;0),preços!AF24/preços!AF23 - 1,0)</f>
        <v>6.0364997660271369E-2</v>
      </c>
      <c r="AJ23" s="7">
        <f>IF(AND(preços!AG24&lt;&gt;0,preços!AG23&lt;&gt;0),preços!AG24/preços!AG23 - 1,0)</f>
        <v>0</v>
      </c>
      <c r="AK23" s="7">
        <f>IF(AND(preços!AH24&lt;&gt;0,preços!AH23&lt;&gt;0),preços!AH24/preços!AH23 - 1,0)</f>
        <v>0</v>
      </c>
      <c r="AL23" s="7">
        <f>IF(AND(preços!AI24&lt;&gt;0,preços!AI23&lt;&gt;0),preços!AI24/preços!AI23 - 1,0)</f>
        <v>0</v>
      </c>
      <c r="AM23" s="7">
        <f>IF(AND(preços!AJ24&lt;&gt;0,preços!AJ23&lt;&gt;0),preços!AJ24/preços!AJ23 - 1,0)</f>
        <v>0.15252918287937756</v>
      </c>
      <c r="AN23" s="7">
        <f>IF(AND(preços!AK24&lt;&gt;0,preços!AK23&lt;&gt;0),preços!AK24/preços!AK23 - 1,0)</f>
        <v>0</v>
      </c>
      <c r="AO23" s="7">
        <f>IF(AND(preços!AL24&lt;&gt;0,preços!AL23&lt;&gt;0),preços!AL24/preços!AL23 - 1,0)</f>
        <v>0</v>
      </c>
      <c r="AP23" s="7" cm="1">
        <f t="array" ref="AP23">AcumularA(A23,selic!$A$2:$B$6050)</f>
        <v>5.9598618337417975E-2</v>
      </c>
      <c r="AQ23" s="4"/>
    </row>
    <row r="24" spans="1:44" x14ac:dyDescent="0.25">
      <c r="A24" s="2">
        <v>2020</v>
      </c>
      <c r="B24" s="7">
        <f t="shared" si="1"/>
        <v>0.50879090429772378</v>
      </c>
      <c r="C24" s="7">
        <f t="shared" si="0"/>
        <v>0.64755118554245172</v>
      </c>
      <c r="D24" s="7">
        <f t="shared" si="2"/>
        <v>2.7578158163065414E-2</v>
      </c>
      <c r="E24" s="7">
        <f>IF(AND(preços!B25&lt;&gt;0,preços!B24&lt;&gt;0),preços!B25/preços!B24 - 1,0)</f>
        <v>4.4490789016336407E-2</v>
      </c>
      <c r="F24" s="7">
        <f>IF(AND(preços!C25&lt;&gt;0,preços!C24&lt;&gt;0),preços!C25/preços!C24 - 1,0)</f>
        <v>1.1240395170142703</v>
      </c>
      <c r="G24" s="7">
        <f>IF(AND(preços!D25&lt;&gt;0,preços!D24&lt;&gt;0),preços!D25/preços!D24 - 1,0)</f>
        <v>0.4065151929920614</v>
      </c>
      <c r="H24" s="7">
        <f>IF(AND(preços!E25&lt;&gt;0,preços!E24&lt;&gt;0),preços!E25/preços!E24 - 1,0)</f>
        <v>-2.1441124780316345E-2</v>
      </c>
      <c r="I24" s="7">
        <f>IF(AND(preços!F25&lt;&gt;0,preços!F24&lt;&gt;0),preços!F25/preços!F24 - 1,0)</f>
        <v>0.5762004175365345</v>
      </c>
      <c r="J24" s="7">
        <f>IF(AND(preços!G25&lt;&gt;0,preços!G24&lt;&gt;0),preços!G25/preços!G24 - 1,0)</f>
        <v>0.22625356706074173</v>
      </c>
      <c r="K24" s="7">
        <f>IF(AND(preços!H25&lt;&gt;0,preços!H24&lt;&gt;0),preços!H25/preços!H24 - 1,0)</f>
        <v>0.45807077072224911</v>
      </c>
      <c r="L24" s="7">
        <f>IF(AND(preços!I25&lt;&gt;0,preços!I24&lt;&gt;0),preços!I25/preços!I24 - 1,0)</f>
        <v>0.28858024691358031</v>
      </c>
      <c r="M24" s="7">
        <f>IF(AND(preços!J25&lt;&gt;0,preços!J24&lt;&gt;0),preços!J25/preços!J24 - 1,0)</f>
        <v>4.6553808948004871E-2</v>
      </c>
      <c r="N24" s="7">
        <f>IF(AND(preços!K25&lt;&gt;0,preços!K24&lt;&gt;0),preços!K25/preços!K24 - 1,0)</f>
        <v>-1.4572333685322181E-2</v>
      </c>
      <c r="O24" s="7">
        <f>IF(AND(preços!L25&lt;&gt;0,preços!L24&lt;&gt;0),preços!L25/preços!L24 - 1,0)</f>
        <v>0.47358490566037736</v>
      </c>
      <c r="P24" s="7">
        <f>IF(AND(preços!M25&lt;&gt;0,preços!M24&lt;&gt;0),preços!M25/preços!M24 - 1,0)</f>
        <v>3.1678260869565218</v>
      </c>
      <c r="Q24" s="7">
        <f>IF(AND(preços!N25&lt;&gt;0,preços!N24&lt;&gt;0),preços!N25/preços!N24 - 1,0)</f>
        <v>1.2591240875912408</v>
      </c>
      <c r="R24" s="7">
        <f>IF(AND(preços!O25&lt;&gt;0,preços!O24&lt;&gt;0),preços!O25/preços!O24 - 1,0)</f>
        <v>0.10434219053791316</v>
      </c>
      <c r="S24" s="7">
        <f>IF(AND(preços!P25&lt;&gt;0,preços!P24&lt;&gt;0),preços!P25/preços!P24 - 1,0)</f>
        <v>0.77218934911242609</v>
      </c>
      <c r="T24" s="7">
        <f>IF(AND(preços!Q25&lt;&gt;0,preços!Q24&lt;&gt;0),preços!Q25/preços!Q24 - 1,0)</f>
        <v>-1.1756323477021824E-2</v>
      </c>
      <c r="U24" s="7">
        <f>IF(AND(preços!R25&lt;&gt;0,preços!R24&lt;&gt;0),preços!R25/preços!R24 - 1,0)</f>
        <v>0</v>
      </c>
      <c r="V24" s="7">
        <f>IF(AND(preços!S25&lt;&gt;0,preços!S24&lt;&gt;0),preços!S25/preços!S24 - 1,0)</f>
        <v>0.12920287117491513</v>
      </c>
      <c r="W24" s="7">
        <f>IF(AND(preços!T25&lt;&gt;0,preços!T24&lt;&gt;0),preços!T25/preços!T24 - 1,0)</f>
        <v>0.12903225806451624</v>
      </c>
      <c r="X24" s="7">
        <f>IF(AND(preços!U25&lt;&gt;0,preços!U24&lt;&gt;0),preços!U25/preços!U24 - 1,0)</f>
        <v>0</v>
      </c>
      <c r="Y24" s="7">
        <f>IF(AND(preços!V25&lt;&gt;0,preços!V24&lt;&gt;0),preços!V25/preços!V24 - 1,0)</f>
        <v>0.92056374119154394</v>
      </c>
      <c r="Z24" s="7">
        <f>IF(AND(preços!W25&lt;&gt;0,preços!W24&lt;&gt;0),preços!W25/preços!W24 - 1,0)</f>
        <v>1.5151515151515151</v>
      </c>
      <c r="AA24" s="7">
        <f>IF(AND(preços!X25&lt;&gt;0,preços!X24&lt;&gt;0),preços!X25/preços!X24 - 1,0)</f>
        <v>0.38463469746422296</v>
      </c>
      <c r="AB24" s="7">
        <f>IF(AND(preços!Y25&lt;&gt;0,preços!Y24&lt;&gt;0),preços!Y25/preços!Y24 - 1,0)</f>
        <v>0.50698529411764715</v>
      </c>
      <c r="AC24" s="7">
        <f>IF(AND(preços!Z25&lt;&gt;0,preços!Z24&lt;&gt;0),preços!Z25/preços!Z24 - 1,0)</f>
        <v>0.55249716231555035</v>
      </c>
      <c r="AD24" s="7">
        <f>IF(AND(preços!AA25&lt;&gt;0,preços!AA24&lt;&gt;0),preços!AA25/preços!AA24 - 1,0)</f>
        <v>0.46786248131539598</v>
      </c>
      <c r="AE24" s="7">
        <f>IF(AND(preços!AB25&lt;&gt;0,preços!AB24&lt;&gt;0),preços!AB25/preços!AB24 - 1,0)</f>
        <v>0</v>
      </c>
      <c r="AF24" s="7">
        <f>IF(AND(preços!AC25&lt;&gt;0,preços!AC24&lt;&gt;0),preços!AC25/preços!AC24 - 1,0)</f>
        <v>0.44156293222683241</v>
      </c>
      <c r="AG24" s="7">
        <f>IF(AND(preços!AD25&lt;&gt;0,preços!AD24&lt;&gt;0),preços!AD25/preços!AD24 - 1,0)</f>
        <v>0.178369652945924</v>
      </c>
      <c r="AH24" s="7">
        <f>IF(AND(preços!AE25&lt;&gt;0,preços!AE24&lt;&gt;0),preços!AE25/preços!AE24 - 1,0)</f>
        <v>0.4123613312202854</v>
      </c>
      <c r="AI24" s="7">
        <f>IF(AND(preços!AF25&lt;&gt;0,preços!AF24&lt;&gt;0),preços!AF25/preços!AF24 - 1,0)</f>
        <v>0.51147396293027358</v>
      </c>
      <c r="AJ24" s="7">
        <f>IF(AND(preços!AG25&lt;&gt;0,preços!AG24&lt;&gt;0),preços!AG25/preços!AG24 - 1,0)</f>
        <v>0</v>
      </c>
      <c r="AK24" s="7">
        <f>IF(AND(preços!AH25&lt;&gt;0,preços!AH24&lt;&gt;0),preços!AH25/preços!AH24 - 1,0)</f>
        <v>0</v>
      </c>
      <c r="AL24" s="7">
        <f>IF(AND(preços!AI25&lt;&gt;0,preços!AI24&lt;&gt;0),preços!AI25/preços!AI24 - 1,0)</f>
        <v>0</v>
      </c>
      <c r="AM24" s="7">
        <f>IF(AND(preços!AJ25&lt;&gt;0,preços!AJ24&lt;&gt;0),preços!AJ25/preços!AJ24 - 1,0)</f>
        <v>1.2316002700877782</v>
      </c>
      <c r="AN24" s="7">
        <f>IF(AND(preços!AK25&lt;&gt;0,preços!AK24&lt;&gt;0),preços!AK25/preços!AK24 - 1,0)</f>
        <v>0</v>
      </c>
      <c r="AO24" s="7">
        <f>IF(AND(preços!AL25&lt;&gt;0,preços!AL24&lt;&gt;0),preços!AL25/preços!AL24 - 1,0)</f>
        <v>0</v>
      </c>
      <c r="AP24" s="7" cm="1">
        <f t="array" ref="AP24">AcumularA(A24,selic!$A$2:$B$6050)</f>
        <v>2.7578158163065414E-2</v>
      </c>
      <c r="AQ24" s="4"/>
    </row>
    <row r="25" spans="1:44" x14ac:dyDescent="0.25">
      <c r="A25" s="2">
        <v>2021</v>
      </c>
      <c r="B25" s="7">
        <f t="shared" si="1"/>
        <v>4.9097705195881088E-2</v>
      </c>
      <c r="C25" s="7">
        <f t="shared" si="0"/>
        <v>1.068856656178016</v>
      </c>
      <c r="D25" s="7">
        <f t="shared" si="2"/>
        <v>4.4236197381473774E-2</v>
      </c>
      <c r="E25" s="7">
        <f>IF(AND(preços!B26&lt;&gt;0,preços!B25&lt;&gt;0),preços!B26/preços!B25 - 1,0)</f>
        <v>-9.051580698835282E-2</v>
      </c>
      <c r="F25" s="7">
        <f>IF(AND(preços!C26&lt;&gt;0,preços!C25&lt;&gt;0),preços!C26/preços!C25 - 1,0)</f>
        <v>1.1436692506459947</v>
      </c>
      <c r="G25" s="7">
        <f>IF(AND(preços!D26&lt;&gt;0,preços!D25&lt;&gt;0),preços!D26/preços!D25 - 1,0)</f>
        <v>-0.27247956403269757</v>
      </c>
      <c r="H25" s="7">
        <f>IF(AND(preços!E26&lt;&gt;0,preços!E25&lt;&gt;0),preços!E26/preços!E25 - 1,0)</f>
        <v>-8.1178160919540332E-2</v>
      </c>
      <c r="I25" s="7">
        <f>IF(AND(preços!F26&lt;&gt;0,preços!F25&lt;&gt;0),preços!F26/preços!F25 - 1,0)</f>
        <v>0.29337748344370862</v>
      </c>
      <c r="J25" s="7">
        <f>IF(AND(preços!G26&lt;&gt;0,preços!G25&lt;&gt;0),preços!G26/preços!G25 - 1,0)</f>
        <v>-0.2373670212765957</v>
      </c>
      <c r="K25" s="7">
        <f>IF(AND(preços!H26&lt;&gt;0,preços!H25&lt;&gt;0),preços!H26/preços!H25 - 1,0)</f>
        <v>-0.12699468085106369</v>
      </c>
      <c r="L25" s="7">
        <f>IF(AND(preços!I26&lt;&gt;0,preços!I25&lt;&gt;0),preços!I26/preços!I25 - 1,0)</f>
        <v>-0.14251497005988023</v>
      </c>
      <c r="M25" s="7">
        <f>IF(AND(preços!J26&lt;&gt;0,preços!J25&lt;&gt;0),preços!J26/preços!J25 - 1,0)</f>
        <v>-0.12709416522241479</v>
      </c>
      <c r="N25" s="7">
        <f>IF(AND(preços!K26&lt;&gt;0,preços!K25&lt;&gt;0),preços!K26/preços!K25 - 1,0)</f>
        <v>-0.27432490355765105</v>
      </c>
      <c r="O25" s="7">
        <f>IF(AND(preços!L26&lt;&gt;0,preços!L25&lt;&gt;0),preços!L26/preços!L25 - 1,0)</f>
        <v>9.8591549295774739E-2</v>
      </c>
      <c r="P25" s="7">
        <f>IF(AND(preços!M26&lt;&gt;0,preços!M25&lt;&gt;0),preços!M26/preços!M25 - 1,0)</f>
        <v>0.47068641769246811</v>
      </c>
      <c r="Q25" s="7">
        <f>IF(AND(preços!N26&lt;&gt;0,preços!N25&lt;&gt;0),preços!N26/preços!N25 - 1,0)</f>
        <v>0.14701130856219691</v>
      </c>
      <c r="R25" s="7">
        <f>IF(AND(preços!O26&lt;&gt;0,preços!O25&lt;&gt;0),preços!O26/preços!O25 - 1,0)</f>
        <v>-0.16842723004694837</v>
      </c>
      <c r="S25" s="7">
        <f>IF(AND(preços!P26&lt;&gt;0,preços!P25&lt;&gt;0),preços!P26/preços!P25 - 1,0)</f>
        <v>0.43322203672787984</v>
      </c>
      <c r="T25" s="7">
        <f>IF(AND(preços!Q26&lt;&gt;0,preços!Q25&lt;&gt;0),preços!Q26/preços!Q25 - 1,0)</f>
        <v>-0.21989906272530635</v>
      </c>
      <c r="U25" s="7">
        <f>IF(AND(preços!R26&lt;&gt;0,preços!R25&lt;&gt;0),preços!R26/preços!R25 - 1,0)</f>
        <v>-0.19034000635525894</v>
      </c>
      <c r="V25" s="7">
        <f>IF(AND(preços!S26&lt;&gt;0,preços!S25&lt;&gt;0),preços!S26/preços!S25 - 1,0)</f>
        <v>0.18049514887922369</v>
      </c>
      <c r="W25" s="7">
        <f>IF(AND(preços!T26&lt;&gt;0,preços!T25&lt;&gt;0),preços!T26/preços!T25 - 1,0)</f>
        <v>9.6938775510204023E-2</v>
      </c>
      <c r="X25" s="7">
        <f>IF(AND(preços!U26&lt;&gt;0,preços!U25&lt;&gt;0),preços!U26/preços!U25 - 1,0)</f>
        <v>1.7458563535911602</v>
      </c>
      <c r="Y25" s="7">
        <f>IF(AND(preços!V26&lt;&gt;0,preços!V25&lt;&gt;0),preços!V26/preços!V25 - 1,0)</f>
        <v>0.76917945296864576</v>
      </c>
      <c r="Z25" s="7">
        <f>IF(AND(preços!W26&lt;&gt;0,preços!W25&lt;&gt;0),preços!W26/preços!W25 - 1,0)</f>
        <v>6.8049340218014915</v>
      </c>
      <c r="AA25" s="7">
        <f>IF(AND(preços!X26&lt;&gt;0,preços!X25&lt;&gt;0),preços!X26/preços!X25 - 1,0)</f>
        <v>1.0308250226654581</v>
      </c>
      <c r="AB25" s="7">
        <f>IF(AND(preços!Y26&lt;&gt;0,preços!Y25&lt;&gt;0),preços!Y26/preços!Y25 - 1,0)</f>
        <v>0.6391802878750914</v>
      </c>
      <c r="AC25" s="7">
        <f>IF(AND(preços!Z26&lt;&gt;0,preços!Z25&lt;&gt;0),preços!Z26/preços!Z25 - 1,0)</f>
        <v>0.29171997806616701</v>
      </c>
      <c r="AD25" s="7">
        <f>IF(AND(preços!AA26&lt;&gt;0,preços!AA25&lt;&gt;0),preços!AA26/preços!AA25 - 1,0)</f>
        <v>0.57815682281059066</v>
      </c>
      <c r="AE25" s="7">
        <f>IF(AND(preços!AB26&lt;&gt;0,preços!AB25&lt;&gt;0),preços!AB26/preços!AB25 - 1,0)</f>
        <v>0.68277240919693427</v>
      </c>
      <c r="AF25" s="7">
        <f>IF(AND(preços!AC26&lt;&gt;0,preços!AC25&lt;&gt;0),preços!AC26/preços!AC25 - 1,0)</f>
        <v>0.76325257855600892</v>
      </c>
      <c r="AG25" s="7">
        <f>IF(AND(preços!AD26&lt;&gt;0,preços!AD25&lt;&gt;0),preços!AD26/preços!AD25 - 1,0)</f>
        <v>1.0034246575342465</v>
      </c>
      <c r="AH25" s="7">
        <f>IF(AND(preços!AE26&lt;&gt;0,preços!AE25&lt;&gt;0),preços!AE26/preços!AE25 - 1,0)</f>
        <v>0.268177737881508</v>
      </c>
      <c r="AI25" s="7">
        <f>IF(AND(preços!AF26&lt;&gt;0,preços!AF25&lt;&gt;0),preços!AF26/preços!AF25 - 1,0)</f>
        <v>0.53547445255474457</v>
      </c>
      <c r="AJ25" s="7">
        <f>IF(AND(preços!AG26&lt;&gt;0,preços!AG25&lt;&gt;0),preços!AG26/preços!AG25 - 1,0)</f>
        <v>0.3187744458930899</v>
      </c>
      <c r="AK25" s="7">
        <f>IF(AND(preços!AH26&lt;&gt;0,preços!AH25&lt;&gt;0),preços!AH26/preços!AH25 - 1,0)</f>
        <v>0.26563209002631805</v>
      </c>
      <c r="AL25" s="7">
        <f>IF(AND(preços!AI26&lt;&gt;0,preços!AI25&lt;&gt;0),preços!AI26/preços!AI25 - 1,0)</f>
        <v>1.891034482758621</v>
      </c>
      <c r="AM25" s="7">
        <f>IF(AND(preços!AJ26&lt;&gt;0,preços!AJ25&lt;&gt;0),preços!AJ26/preços!AJ25 - 1,0)</f>
        <v>1.1791225416036308</v>
      </c>
      <c r="AN25" s="7">
        <f>IF(AND(preços!AK26&lt;&gt;0,preços!AK25&lt;&gt;0),preços!AK26/preços!AK25 - 1,0)</f>
        <v>-0.12431910639178101</v>
      </c>
      <c r="AO25" s="7">
        <f>IF(AND(preços!AL26&lt;&gt;0,preços!AL25&lt;&gt;0),preços!AL26/preços!AL25 - 1,0)</f>
        <v>0.59622158181235996</v>
      </c>
      <c r="AP25" s="7" cm="1">
        <f t="array" ref="AP25">AcumularA(A25,selic!$A$2:$B$6050)</f>
        <v>4.4236197381473774E-2</v>
      </c>
      <c r="AQ25" s="4"/>
    </row>
    <row r="26" spans="1:44" x14ac:dyDescent="0.25">
      <c r="A26" s="2" t="s">
        <v>1044</v>
      </c>
      <c r="B26" s="7" cm="1">
        <f t="array" ref="B26">Acumular(B2:B25)</f>
        <v>129.81206513092465</v>
      </c>
      <c r="C26" s="7" cm="1">
        <f t="array" ref="C26">Acumular(C2:C25)</f>
        <v>41.338945362415323</v>
      </c>
      <c r="D26" s="7" cm="1">
        <f t="array" ref="D26">Acumular(D2:D25)</f>
        <v>18.782304249586574</v>
      </c>
      <c r="E26" s="7" cm="1">
        <f t="array" ref="E26">Acumular(E2:E25)</f>
        <v>15.766871165644172</v>
      </c>
      <c r="F26" s="7" cm="1">
        <f t="array" ref="F26">Acumular(F2:F25)</f>
        <v>29.840148698884757</v>
      </c>
      <c r="G26" s="7" cm="1">
        <f t="array" ref="G26">Acumular(G2:G25)</f>
        <v>17.145631067961165</v>
      </c>
      <c r="H26" s="7" cm="1">
        <f t="array" ref="H26">Acumular(H2:H25)</f>
        <v>72.085714285714289</v>
      </c>
      <c r="I26" s="7" cm="1">
        <f t="array" ref="I26">Acumular(I2:I25)</f>
        <v>13.152173913043482</v>
      </c>
      <c r="J26" s="7" cm="1">
        <f t="array" ref="J26">Acumular(J2:J25)</f>
        <v>13.248447204968937</v>
      </c>
      <c r="K26" s="7" cm="1">
        <f t="array" ref="K26">Acumular(K2:K25)</f>
        <v>2.6778711484593845</v>
      </c>
      <c r="L26" s="7" cm="1">
        <f t="array" ref="L26">Acumular(L2:L25)</f>
        <v>5.6194144838212621</v>
      </c>
      <c r="M26" s="7" cm="1">
        <f t="array" ref="M26">Acumular(M2:M25)</f>
        <v>-0.28150261531145992</v>
      </c>
      <c r="N26" s="7" cm="1">
        <f t="array" ref="N26">Acumular(N2:N25)</f>
        <v>21.724832214765101</v>
      </c>
      <c r="O26" s="7" cm="1">
        <f t="array" ref="O26">Acumular(O2:O25)</f>
        <v>50.999999999999979</v>
      </c>
      <c r="P26" s="7" cm="1">
        <f t="array" ref="P26">Acumular(P2:P25)</f>
        <v>-0.61226622662266217</v>
      </c>
      <c r="Q26" s="7" cm="1">
        <f t="array" ref="Q26">Acumular(Q2:Q25)</f>
        <v>10.314741035856578</v>
      </c>
      <c r="R26" s="7" cm="1">
        <f t="array" ref="R26">Acumular(R2:R25)</f>
        <v>6.9606741573033712</v>
      </c>
      <c r="S26" s="7" cm="1">
        <f t="array" ref="S26">Acumular(S2:S25)</f>
        <v>1.5399408284023672</v>
      </c>
      <c r="T26" s="7" cm="1">
        <f t="array" ref="T26">Acumular(T2:T25)</f>
        <v>24.162790697674424</v>
      </c>
      <c r="U26" s="7" cm="1">
        <f t="array" ref="U26">Acumular(U2:U25)</f>
        <v>-0.19034000635525894</v>
      </c>
      <c r="V26" s="7" cm="1">
        <f t="array" ref="V26">Acumular(V2:V25)</f>
        <v>2.0483801295896327</v>
      </c>
      <c r="W26" s="7" cm="1">
        <f t="array" ref="W26">Acumular(W2:W25)</f>
        <v>0.97610294117647056</v>
      </c>
      <c r="X26" s="7" cm="1">
        <f t="array" ref="X26">Acumular(X2:X25)</f>
        <v>1.7458563535911602</v>
      </c>
      <c r="Y26" s="7" cm="1">
        <f t="array" ref="Y26">Acumular(Y2:Y25)</f>
        <v>29.308571428571437</v>
      </c>
      <c r="Z26" s="7" cm="1">
        <f t="array" ref="Z26">Acumular(Z2:Z25)</f>
        <v>18.187588152327219</v>
      </c>
      <c r="AA26" s="7" cm="1">
        <f t="array" ref="AA26">Acumular(AA2:AA25)</f>
        <v>31.463768115942024</v>
      </c>
      <c r="AB26" s="7" cm="1">
        <f t="array" ref="AB26">Acumular(AB2:AB25)</f>
        <v>2.9018583042973285</v>
      </c>
      <c r="AC26" s="7" cm="1">
        <f t="array" ref="AC26">Acumular(AC2:AC25)</f>
        <v>8.397606382978724</v>
      </c>
      <c r="AD26" s="7" cm="1">
        <f t="array" ref="AD26">Acumular(AD2:AD25)</f>
        <v>14.193627450980392</v>
      </c>
      <c r="AE26" s="7" cm="1">
        <f t="array" ref="AE26">Acumular(AE2:AE25)</f>
        <v>0.68277240919693427</v>
      </c>
      <c r="AF26" s="7" cm="1">
        <f t="array" ref="AF26">Acumular(AF2:AF25)</f>
        <v>15.898286859117441</v>
      </c>
      <c r="AG26" s="7" cm="1">
        <f t="array" ref="AG26">Acumular(AG2:AG25)</f>
        <v>19.892857142857146</v>
      </c>
      <c r="AH26" s="7" cm="1">
        <f t="array" ref="AH26">Acumular(AH2:AH25)</f>
        <v>5.1091891891891894</v>
      </c>
      <c r="AI26" s="7" cm="1">
        <f t="array" ref="AI26">Acumular(AI2:AI25)</f>
        <v>11.953201970443351</v>
      </c>
      <c r="AJ26" s="7" cm="1">
        <f t="array" ref="AJ26">Acumular(AJ2:AJ25)</f>
        <v>0.3187744458930899</v>
      </c>
      <c r="AK26" s="7" cm="1">
        <f t="array" ref="AK26">Acumular(AK2:AK25)</f>
        <v>0.26563209002631805</v>
      </c>
      <c r="AL26" s="7" cm="1">
        <f t="array" ref="AL26">Acumular(AL2:AL25)</f>
        <v>1.891034482758621</v>
      </c>
      <c r="AM26" s="7" cm="1">
        <f t="array" ref="AM26">Acumular(AM2:AM25)</f>
        <v>38.571428571428584</v>
      </c>
      <c r="AN26" s="7" cm="1">
        <f t="array" ref="AN26">Acumular(AN2:AN25)</f>
        <v>-0.12431910639178101</v>
      </c>
      <c r="AO26" s="7" cm="1">
        <f t="array" ref="AO26">Acumular(AO2:AO25)</f>
        <v>0.59622158181235996</v>
      </c>
      <c r="AP26" s="7" cm="1">
        <f t="array" ref="AP26">Acumular(AP2:AP25)</f>
        <v>18.782304249586574</v>
      </c>
    </row>
    <row r="27" spans="1:44" x14ac:dyDescent="0.25"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4" x14ac:dyDescent="0.25">
      <c r="A28" s="2" t="s">
        <v>934</v>
      </c>
      <c r="B28" s="7" cm="1">
        <f t="array" ref="B28">GEOMEAN(1+B2:B25)-1</f>
        <v>0.22516239573789254</v>
      </c>
      <c r="C28" s="7" cm="1">
        <f t="array" ref="C28">GEOMEAN(1+C2:C25)-1</f>
        <v>0.16890935617907532</v>
      </c>
      <c r="D28" s="7" cm="1">
        <f t="array" ref="D28">GEOMEAN(1+D2:D25)-1</f>
        <v>0.13243044456743869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4" x14ac:dyDescent="0.25">
      <c r="A29" s="2" t="s">
        <v>923</v>
      </c>
      <c r="B29" s="7">
        <f>SQRT(variância_a1)</f>
        <v>0.45035858555577574</v>
      </c>
      <c r="C29" s="7">
        <f>SQRT(variância_a2)</f>
        <v>0.31061626453269675</v>
      </c>
      <c r="D29" s="7">
        <f>SQRT(variância_a3)</f>
        <v>6.4251789804657261E-2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4" x14ac:dyDescent="0.25">
      <c r="A30" s="2" t="s">
        <v>928</v>
      </c>
      <c r="B30" s="7">
        <f>(retorno_a1-taxa_di)/B29</f>
        <v>0.26348425353422406</v>
      </c>
      <c r="C30" s="7">
        <f>(retorno_a2-taxa_di)/C29</f>
        <v>0.2009210827158919</v>
      </c>
      <c r="D30" s="7">
        <f>(retorno_a3-taxa_di)/D29</f>
        <v>0.40357544352109448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4" x14ac:dyDescent="0.25">
      <c r="A31" t="s">
        <v>921</v>
      </c>
      <c r="B31" s="2" t="s">
        <v>918</v>
      </c>
      <c r="C31" s="2" t="s">
        <v>919</v>
      </c>
      <c r="D31" s="2" t="s">
        <v>920</v>
      </c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</row>
    <row r="32" spans="1:44" x14ac:dyDescent="0.25">
      <c r="A32" t="str" cm="1">
        <f t="array" ref="A32:A34">TRANSPOSE(B31:D31)</f>
        <v>Ações</v>
      </c>
      <c r="B32" s="4">
        <f>_xlfn.COVARIANCE.P(retornos!$B$2:$B$25,retornos!B$2:B$25)</f>
        <v>0.20282285558379898</v>
      </c>
      <c r="C32" s="4">
        <f>_xlfn.COVARIANCE.P(retornos!$B$2:$B$25,retornos!C$2:C$25)</f>
        <v>-3.2319091520525207E-2</v>
      </c>
      <c r="D32" s="4">
        <f>_xlfn.COVARIANCE.P(retornos!$B$2:$B$25,retornos!D$2:D$25)</f>
        <v>-2.199809262402274E-3</v>
      </c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</row>
    <row r="33" spans="1:42" x14ac:dyDescent="0.25">
      <c r="A33" t="str">
        <v>BDRs</v>
      </c>
      <c r="B33" s="4">
        <f>_xlfn.COVARIANCE.P(retornos!$C$2:$C$25,retornos!B$2:B$25)</f>
        <v>-3.2319091520525207E-2</v>
      </c>
      <c r="C33" s="4">
        <f>_xlfn.COVARIANCE.P(retornos!$C$2:$C$25,retornos!C$2:C$25)</f>
        <v>9.6482463792246231E-2</v>
      </c>
      <c r="D33" s="4">
        <f>_xlfn.COVARIANCE.P(retornos!$C$2:$C$25,retornos!D$2:D$25)</f>
        <v>-1.0709794047410097E-2</v>
      </c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</row>
    <row r="34" spans="1:42" x14ac:dyDescent="0.25">
      <c r="A34" t="str">
        <v>Títulos Públicos</v>
      </c>
      <c r="B34" s="4">
        <f>_xlfn.COVARIANCE.P(retornos!$D$2:$D$25,retornos!B$2:B$25)</f>
        <v>-2.199809262402274E-3</v>
      </c>
      <c r="C34" s="4">
        <f>_xlfn.COVARIANCE.P(retornos!$D$2:$D$25,retornos!C$2:C$25)</f>
        <v>-1.0709794047410097E-2</v>
      </c>
      <c r="D34" s="4">
        <f>_xlfn.COVARIANCE.P(retornos!$D$2:$D$25,retornos!D$2:D$25)</f>
        <v>4.1282924931018584E-3</v>
      </c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</row>
    <row r="35" spans="1:42" x14ac:dyDescent="0.25">
      <c r="A35" t="s">
        <v>922</v>
      </c>
      <c r="B35" s="2" t="s">
        <v>918</v>
      </c>
      <c r="C35" s="2" t="s">
        <v>919</v>
      </c>
      <c r="D35" s="2" t="s">
        <v>920</v>
      </c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</row>
    <row r="36" spans="1:42" x14ac:dyDescent="0.25">
      <c r="A36" t="str" cm="1">
        <f t="array" ref="A36:A38">TRANSPOSE(B35:D35)</f>
        <v>Ações</v>
      </c>
      <c r="B36" s="4">
        <f>CORREL(retornos!$B$2:$B$25,retornos!B$2:B$25)</f>
        <v>1</v>
      </c>
      <c r="C36" s="4">
        <f>CORREL(retornos!$B$2:$B$25,retornos!C$2:C$25)</f>
        <v>-0.23103432345462413</v>
      </c>
      <c r="D36" s="4">
        <f>CORREL(retornos!$B$2:$B$25,retornos!D$2:D$25)</f>
        <v>-7.6022360427122196E-2</v>
      </c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</row>
    <row r="37" spans="1:42" x14ac:dyDescent="0.25">
      <c r="A37" t="str">
        <v>BDRs</v>
      </c>
      <c r="B37" s="4">
        <f>CORREL(retornos!$C$2:$C$25,retornos!B$2:B$25)</f>
        <v>-0.23103432345462413</v>
      </c>
      <c r="C37" s="4">
        <f>CORREL(retornos!$C$2:$C$25,retornos!C$2:C$25)</f>
        <v>0.99999999999999989</v>
      </c>
      <c r="D37" s="4">
        <f>CORREL(retornos!$C$2:$C$25,retornos!D$2:D$25)</f>
        <v>-0.53662598270334083</v>
      </c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</row>
    <row r="38" spans="1:42" x14ac:dyDescent="0.25">
      <c r="A38" t="str">
        <v>Títulos Públicos</v>
      </c>
      <c r="B38" s="4">
        <f>CORREL(retornos!$D$2:$D$25,retornos!B$2:B$25)</f>
        <v>-7.6022360427122196E-2</v>
      </c>
      <c r="C38" s="4">
        <f>CORREL(retornos!$D$2:$D$25,retornos!C$2:C$25)</f>
        <v>-0.53662598270334083</v>
      </c>
      <c r="D38" s="4">
        <f>CORREL(retornos!$D$2:$D$25,retornos!D$2:D$25)</f>
        <v>1</v>
      </c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</row>
    <row r="39" spans="1:42" x14ac:dyDescent="0.25">
      <c r="B39" s="7"/>
      <c r="C39" s="7"/>
      <c r="D39" s="7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</row>
    <row r="45" spans="1:42" x14ac:dyDescent="0.25"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</row>
  </sheetData>
  <autoFilter ref="A1:AP1" xr:uid="{F1067939-C7DC-4A1E-9CF2-F027E9389CE2}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49FBE-3C95-4AD1-89AD-96635DF0A85E}">
  <dimension ref="A1:W95"/>
  <sheetViews>
    <sheetView tabSelected="1" workbookViewId="0"/>
  </sheetViews>
  <sheetFormatPr defaultColWidth="5" defaultRowHeight="15" x14ac:dyDescent="0.25"/>
  <cols>
    <col min="1" max="1" width="3.85546875" bestFit="1" customWidth="1"/>
    <col min="2" max="3" width="7.140625" bestFit="1" customWidth="1"/>
    <col min="4" max="4" width="8.140625" bestFit="1" customWidth="1"/>
    <col min="5" max="9" width="7.140625" bestFit="1" customWidth="1"/>
    <col min="11" max="11" width="2.85546875" bestFit="1" customWidth="1"/>
    <col min="12" max="12" width="11.7109375" customWidth="1"/>
    <col min="13" max="13" width="7.140625" bestFit="1" customWidth="1"/>
    <col min="14" max="14" width="8.140625" bestFit="1" customWidth="1"/>
    <col min="15" max="17" width="7.140625" bestFit="1" customWidth="1"/>
    <col min="18" max="18" width="8.140625" bestFit="1" customWidth="1"/>
    <col min="22" max="22" width="8.28515625" bestFit="1" customWidth="1"/>
    <col min="23" max="25" width="7.28515625" bestFit="1" customWidth="1"/>
    <col min="27" max="27" width="10" bestFit="1" customWidth="1"/>
    <col min="28" max="28" width="12.7109375" bestFit="1" customWidth="1"/>
  </cols>
  <sheetData>
    <row r="1" spans="1:23" x14ac:dyDescent="0.25">
      <c r="A1" s="23"/>
    </row>
    <row r="2" spans="1:23" x14ac:dyDescent="0.25"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</row>
    <row r="3" spans="1:23" x14ac:dyDescent="0.25"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</row>
    <row r="4" spans="1:23" x14ac:dyDescent="0.25"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</row>
    <row r="5" spans="1:23" x14ac:dyDescent="0.25"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V5" t="s">
        <v>929</v>
      </c>
      <c r="W5" t="s">
        <v>939</v>
      </c>
    </row>
    <row r="6" spans="1:23" x14ac:dyDescent="0.25">
      <c r="A6" t="s">
        <v>1036</v>
      </c>
      <c r="B6" t="s">
        <v>935</v>
      </c>
      <c r="C6" t="s">
        <v>936</v>
      </c>
      <c r="D6" t="s">
        <v>937</v>
      </c>
      <c r="E6" t="s">
        <v>932</v>
      </c>
      <c r="F6" t="s">
        <v>933</v>
      </c>
      <c r="G6" t="s">
        <v>1046</v>
      </c>
      <c r="H6" t="s">
        <v>940</v>
      </c>
      <c r="I6" t="s">
        <v>1047</v>
      </c>
      <c r="V6" t="s">
        <v>937</v>
      </c>
      <c r="W6" s="14">
        <v>0.01</v>
      </c>
    </row>
    <row r="7" spans="1:23" x14ac:dyDescent="0.25">
      <c r="A7" s="14" t="s">
        <v>941</v>
      </c>
      <c r="B7" s="14">
        <v>0</v>
      </c>
      <c r="C7" s="14">
        <v>0</v>
      </c>
      <c r="D7" s="14">
        <v>1</v>
      </c>
      <c r="E7" s="14">
        <f>SUMPRODUCT(B7:D7,retornos!$B$28:$D$28)</f>
        <v>0.13243044456743869</v>
      </c>
      <c r="F7" s="14">
        <f t="shared" ref="F7:F38" si="0">B7^2*variância_a1+C7^2*variância_a2+D7^2*variância_a3+2*B7*C7*cov_a1_a2+2*B7*D7*cov_a1_a3+2*C7*D7*cov_a2_a3</f>
        <v>4.1282924931018584E-3</v>
      </c>
      <c r="G7" s="14">
        <f t="shared" ref="G7:G38" si="1">B7^2*variância_a1+C7^2*variância_a2+2*B7*C7*cov_a1_a2</f>
        <v>0</v>
      </c>
      <c r="H7" s="14">
        <f>SQRT(F7)</f>
        <v>6.4251789804657261E-2</v>
      </c>
      <c r="I7" s="14">
        <f>SQRT(G7)</f>
        <v>0</v>
      </c>
      <c r="V7" t="s">
        <v>936</v>
      </c>
      <c r="W7" s="14">
        <f>3/17</f>
        <v>0.17647058823529413</v>
      </c>
    </row>
    <row r="8" spans="1:23" x14ac:dyDescent="0.25">
      <c r="A8" s="14" t="s">
        <v>942</v>
      </c>
      <c r="B8" s="14">
        <f>1-SUM(C8:D8)</f>
        <v>8.2352941176471184E-3</v>
      </c>
      <c r="C8" s="14">
        <f t="shared" ref="C8:C39" si="2">(1-D8)*$W$7</f>
        <v>1.7647058823529428E-3</v>
      </c>
      <c r="D8" s="14">
        <f t="shared" ref="D8:D39" si="3">D7-$W$6</f>
        <v>0.99</v>
      </c>
      <c r="E8" s="14">
        <f>SUMPRODUCT(B8:D8,retornos!$B$28:$D$28)</f>
        <v>0.13325849400933357</v>
      </c>
      <c r="F8" s="14">
        <f t="shared" si="0"/>
        <v>3.9859649071634006E-3</v>
      </c>
      <c r="G8" s="14">
        <f t="shared" si="1"/>
        <v>1.3116546083332614E-5</v>
      </c>
      <c r="H8" s="14">
        <f t="shared" ref="H8:H55" si="4">SQRT(F8)</f>
        <v>6.3134498550027313E-2</v>
      </c>
      <c r="I8" s="14">
        <f t="shared" ref="I8:I71" si="5">SQRT(G8)</f>
        <v>3.621677247261635E-3</v>
      </c>
      <c r="J8" s="14"/>
      <c r="K8" s="14"/>
      <c r="L8" s="14"/>
      <c r="M8" s="1"/>
      <c r="N8" s="13"/>
      <c r="O8" s="1"/>
      <c r="P8" s="1"/>
      <c r="Q8" s="1"/>
      <c r="V8" t="s">
        <v>935</v>
      </c>
      <c r="W8" s="14">
        <f>14/17</f>
        <v>0.82352941176470584</v>
      </c>
    </row>
    <row r="9" spans="1:23" x14ac:dyDescent="0.25">
      <c r="A9" s="14" t="s">
        <v>943</v>
      </c>
      <c r="B9" s="14">
        <f t="shared" ref="B9:B72" si="6">1-SUM(C9:D9)</f>
        <v>1.6470588235294126E-2</v>
      </c>
      <c r="C9" s="14">
        <f t="shared" si="2"/>
        <v>3.5294117647058855E-3</v>
      </c>
      <c r="D9" s="14">
        <f t="shared" si="3"/>
        <v>0.98</v>
      </c>
      <c r="E9" s="14">
        <f>SUMPRODUCT(B9:D9,retornos!$B$28:$D$28)</f>
        <v>0.13408654345122842</v>
      </c>
      <c r="F9" s="14">
        <f t="shared" si="0"/>
        <v>3.8721767004035422E-3</v>
      </c>
      <c r="G9" s="14">
        <f t="shared" si="1"/>
        <v>5.2466184333329737E-5</v>
      </c>
      <c r="H9" s="14">
        <f t="shared" si="4"/>
        <v>6.222681656973577E-2</v>
      </c>
      <c r="I9" s="14">
        <f t="shared" si="5"/>
        <v>7.2433544945232206E-3</v>
      </c>
      <c r="J9" s="14"/>
      <c r="K9" s="14"/>
      <c r="L9" s="14"/>
      <c r="M9" s="1"/>
      <c r="N9" s="13"/>
      <c r="O9" s="1"/>
      <c r="P9" s="1"/>
      <c r="Q9" s="1"/>
      <c r="V9" s="18" t="s">
        <v>1048</v>
      </c>
      <c r="W9" s="16" t="str">
        <f>INDEX($A$7:$A$95,MATCH(SMALL(dp_risco_a,1),dp_risco_a,0),1)</f>
        <v>c6</v>
      </c>
    </row>
    <row r="10" spans="1:23" x14ac:dyDescent="0.25">
      <c r="A10" s="14" t="s">
        <v>944</v>
      </c>
      <c r="B10" s="14">
        <f t="shared" si="6"/>
        <v>2.4705882352941244E-2</v>
      </c>
      <c r="C10" s="14">
        <f t="shared" si="2"/>
        <v>5.2941176470588285E-3</v>
      </c>
      <c r="D10" s="14">
        <f t="shared" si="3"/>
        <v>0.97</v>
      </c>
      <c r="E10" s="14">
        <f>SUMPRODUCT(B10:D10,retornos!$B$28:$D$28)</f>
        <v>0.1349145928931233</v>
      </c>
      <c r="F10" s="14">
        <f t="shared" si="0"/>
        <v>3.7869278728222852E-3</v>
      </c>
      <c r="G10" s="14">
        <f t="shared" si="1"/>
        <v>1.1804891474999243E-4</v>
      </c>
      <c r="H10" s="14">
        <f t="shared" si="4"/>
        <v>6.1538019734325912E-2</v>
      </c>
      <c r="I10" s="14">
        <f t="shared" si="5"/>
        <v>1.0865031741784855E-2</v>
      </c>
      <c r="J10" s="14"/>
      <c r="K10" s="14"/>
      <c r="L10" s="14"/>
      <c r="M10" s="1"/>
      <c r="N10" s="13"/>
      <c r="O10" s="1"/>
      <c r="P10" s="1"/>
      <c r="Q10" s="1"/>
      <c r="V10" s="16" t="s">
        <v>932</v>
      </c>
      <c r="W10" s="16">
        <f>INDEX($E$7:$E$95,MATCH(SMALL(dp_risco_a,1),dp_risco_a,0),1)</f>
        <v>0.136570691776913</v>
      </c>
    </row>
    <row r="11" spans="1:23" x14ac:dyDescent="0.25">
      <c r="A11" s="14" t="s">
        <v>945</v>
      </c>
      <c r="B11" s="14">
        <f t="shared" si="6"/>
        <v>3.2941176470588251E-2</v>
      </c>
      <c r="C11" s="14">
        <f t="shared" si="2"/>
        <v>7.058823529411771E-3</v>
      </c>
      <c r="D11" s="14">
        <f t="shared" si="3"/>
        <v>0.96</v>
      </c>
      <c r="E11" s="14">
        <f>SUMPRODUCT(B11:D11,retornos!$B$28:$D$28)</f>
        <v>0.13574264233501815</v>
      </c>
      <c r="F11" s="14">
        <f t="shared" si="0"/>
        <v>3.7302184244196262E-3</v>
      </c>
      <c r="G11" s="14">
        <f t="shared" si="1"/>
        <v>2.0986473733331895E-4</v>
      </c>
      <c r="H11" s="14">
        <f t="shared" si="4"/>
        <v>6.1075514115066003E-2</v>
      </c>
      <c r="I11" s="14">
        <f t="shared" si="5"/>
        <v>1.4486708989046441E-2</v>
      </c>
      <c r="J11" s="14"/>
      <c r="K11" s="14"/>
      <c r="L11" s="14"/>
      <c r="M11" s="1"/>
      <c r="N11" s="13"/>
      <c r="O11" s="1"/>
      <c r="P11" s="1"/>
      <c r="Q11" s="1"/>
      <c r="V11" s="17" t="s">
        <v>1037</v>
      </c>
      <c r="W11" s="16">
        <f>INDEX($H$7:$H$95,MATCH(SMALL(dp_risco_a,1),dp_risco_a,0),1)</f>
        <v>6.0844460349283792E-2</v>
      </c>
    </row>
    <row r="12" spans="1:23" x14ac:dyDescent="0.25">
      <c r="A12" s="21" t="s">
        <v>946</v>
      </c>
      <c r="B12" s="21">
        <f t="shared" si="6"/>
        <v>4.117647058823537E-2</v>
      </c>
      <c r="C12" s="21">
        <f t="shared" si="2"/>
        <v>8.8235294117647144E-3</v>
      </c>
      <c r="D12" s="21">
        <f t="shared" si="3"/>
        <v>0.95</v>
      </c>
      <c r="E12" s="21">
        <f>SUMPRODUCT(B12:D12,retornos!$B$28:$D$28)</f>
        <v>0.136570691776913</v>
      </c>
      <c r="F12" s="21">
        <f t="shared" si="0"/>
        <v>3.7020483551955677E-3</v>
      </c>
      <c r="G12" s="21">
        <f t="shared" si="1"/>
        <v>3.2791365208331176E-4</v>
      </c>
      <c r="H12" s="21">
        <f t="shared" si="4"/>
        <v>6.0844460349283792E-2</v>
      </c>
      <c r="I12" s="21">
        <f t="shared" si="5"/>
        <v>1.8108386236308074E-2</v>
      </c>
      <c r="J12" s="14"/>
      <c r="K12" s="14"/>
      <c r="L12" s="14"/>
      <c r="M12" s="1"/>
      <c r="N12" s="13"/>
      <c r="O12" s="1"/>
      <c r="P12" s="1"/>
      <c r="Q12" s="1"/>
      <c r="V12" s="17" t="s">
        <v>1049</v>
      </c>
      <c r="W12" s="16">
        <f>INDEX($I$7:$I$95,MATCH(SMALL(dp_risco_a,1),dp_risco_a,0),1)</f>
        <v>1.8108386236308074E-2</v>
      </c>
    </row>
    <row r="13" spans="1:23" x14ac:dyDescent="0.25">
      <c r="A13" s="14" t="s">
        <v>947</v>
      </c>
      <c r="B13" s="14">
        <f t="shared" si="6"/>
        <v>4.9411764705882377E-2</v>
      </c>
      <c r="C13" s="14">
        <f t="shared" si="2"/>
        <v>1.0588235294117657E-2</v>
      </c>
      <c r="D13" s="14">
        <f t="shared" si="3"/>
        <v>0.94</v>
      </c>
      <c r="E13" s="14">
        <f>SUMPRODUCT(B13:D13,retornos!$B$28:$D$28)</f>
        <v>0.13739874121880785</v>
      </c>
      <c r="F13" s="14">
        <f t="shared" si="0"/>
        <v>3.7024176651501068E-3</v>
      </c>
      <c r="G13" s="14">
        <f t="shared" si="1"/>
        <v>4.7219565899996767E-4</v>
      </c>
      <c r="H13" s="14">
        <f t="shared" si="4"/>
        <v>6.0847495142775654E-2</v>
      </c>
      <c r="I13" s="14">
        <f t="shared" si="5"/>
        <v>2.1730063483569661E-2</v>
      </c>
      <c r="J13" s="14"/>
      <c r="K13" s="14"/>
      <c r="L13" s="14"/>
      <c r="M13" s="1"/>
      <c r="N13" s="13"/>
      <c r="O13" s="1"/>
      <c r="P13" s="1"/>
      <c r="Q13" s="1"/>
      <c r="R13" s="14"/>
    </row>
    <row r="14" spans="1:23" x14ac:dyDescent="0.25">
      <c r="A14" s="14" t="s">
        <v>948</v>
      </c>
      <c r="B14" s="14">
        <f t="shared" si="6"/>
        <v>5.7647058823529496E-2</v>
      </c>
      <c r="C14" s="14">
        <f t="shared" si="2"/>
        <v>1.23529411764706E-2</v>
      </c>
      <c r="D14" s="14">
        <f t="shared" si="3"/>
        <v>0.92999999999999994</v>
      </c>
      <c r="E14" s="14">
        <f>SUMPRODUCT(B14:D14,retornos!$B$28:$D$28)</f>
        <v>0.13822679066070273</v>
      </c>
      <c r="F14" s="14">
        <f t="shared" si="0"/>
        <v>3.7313263542832487E-3</v>
      </c>
      <c r="G14" s="14">
        <f t="shared" si="1"/>
        <v>6.4271075808329059E-4</v>
      </c>
      <c r="H14" s="14">
        <f t="shared" si="4"/>
        <v>6.1084583605712242E-2</v>
      </c>
      <c r="I14" s="14">
        <f t="shared" si="5"/>
        <v>2.5351740730831296E-2</v>
      </c>
      <c r="J14" s="14"/>
      <c r="K14" s="14"/>
      <c r="L14" s="14"/>
      <c r="M14" s="1"/>
      <c r="N14" s="13"/>
      <c r="O14" s="1"/>
      <c r="P14" s="1"/>
      <c r="Q14" s="1"/>
      <c r="R14" s="14"/>
    </row>
    <row r="15" spans="1:23" x14ac:dyDescent="0.25">
      <c r="A15" s="14" t="s">
        <v>949</v>
      </c>
      <c r="B15" s="14">
        <f t="shared" si="6"/>
        <v>6.5882352941176503E-2</v>
      </c>
      <c r="C15" s="14">
        <f t="shared" si="2"/>
        <v>1.4117647058823542E-2</v>
      </c>
      <c r="D15" s="14">
        <f t="shared" si="3"/>
        <v>0.91999999999999993</v>
      </c>
      <c r="E15" s="14">
        <f>SUMPRODUCT(B15:D15,retornos!$B$28:$D$28)</f>
        <v>0.13905484010259758</v>
      </c>
      <c r="F15" s="14">
        <f t="shared" si="0"/>
        <v>3.788774422594988E-3</v>
      </c>
      <c r="G15" s="14">
        <f t="shared" si="1"/>
        <v>8.3945894933327579E-4</v>
      </c>
      <c r="H15" s="14">
        <f t="shared" si="4"/>
        <v>6.1553021230439924E-2</v>
      </c>
      <c r="I15" s="14">
        <f t="shared" si="5"/>
        <v>2.8973417978092882E-2</v>
      </c>
      <c r="J15" s="14"/>
      <c r="K15" s="14"/>
      <c r="L15" s="14"/>
      <c r="M15" s="1"/>
      <c r="N15" s="13"/>
      <c r="O15" s="1"/>
      <c r="P15" s="1"/>
      <c r="Q15" s="1"/>
      <c r="R15" s="14"/>
    </row>
    <row r="16" spans="1:23" x14ac:dyDescent="0.25">
      <c r="A16" s="14" t="s">
        <v>950</v>
      </c>
      <c r="B16" s="14">
        <f t="shared" si="6"/>
        <v>7.4117647058823621E-2</v>
      </c>
      <c r="C16" s="14">
        <f t="shared" si="2"/>
        <v>1.5882352941176486E-2</v>
      </c>
      <c r="D16" s="14">
        <f t="shared" si="3"/>
        <v>0.90999999999999992</v>
      </c>
      <c r="E16" s="14">
        <f>SUMPRODUCT(B16:D16,retornos!$B$28:$D$28)</f>
        <v>0.13988288954449246</v>
      </c>
      <c r="F16" s="14">
        <f t="shared" si="0"/>
        <v>3.8747618700853284E-3</v>
      </c>
      <c r="G16" s="14">
        <f t="shared" si="1"/>
        <v>1.0624402327499287E-3</v>
      </c>
      <c r="H16" s="14">
        <f t="shared" si="4"/>
        <v>6.2247585255054902E-2</v>
      </c>
      <c r="I16" s="14">
        <f t="shared" si="5"/>
        <v>3.2595095225354517E-2</v>
      </c>
      <c r="J16" s="14"/>
      <c r="K16" s="14"/>
      <c r="L16" s="14"/>
      <c r="M16" s="1"/>
      <c r="N16" s="13"/>
      <c r="O16" s="1"/>
      <c r="P16" s="1"/>
      <c r="Q16" s="1"/>
      <c r="R16" s="14"/>
    </row>
    <row r="17" spans="1:18" x14ac:dyDescent="0.25">
      <c r="A17" s="22" t="s">
        <v>951</v>
      </c>
      <c r="B17" s="22">
        <f t="shared" si="6"/>
        <v>8.2352941176470629E-2</v>
      </c>
      <c r="C17" s="22">
        <f t="shared" si="2"/>
        <v>1.7647058823529429E-2</v>
      </c>
      <c r="D17" s="22">
        <f t="shared" si="3"/>
        <v>0.89999999999999991</v>
      </c>
      <c r="E17" s="22">
        <f>SUMPRODUCT(B17:D17,retornos!$B$28:$D$28)</f>
        <v>0.14071093898638731</v>
      </c>
      <c r="F17" s="22">
        <f t="shared" si="0"/>
        <v>3.9892886967542668E-3</v>
      </c>
      <c r="G17" s="22">
        <f t="shared" si="1"/>
        <v>1.3116546083332434E-3</v>
      </c>
      <c r="H17" s="22">
        <f t="shared" si="4"/>
        <v>6.3160816150159643E-2</v>
      </c>
      <c r="I17" s="22">
        <f t="shared" si="5"/>
        <v>3.62167724726161E-2</v>
      </c>
      <c r="J17" s="14"/>
      <c r="K17" s="14"/>
      <c r="L17" s="14"/>
      <c r="M17" s="1"/>
      <c r="N17" s="13"/>
      <c r="O17" s="1"/>
      <c r="P17" s="1"/>
      <c r="Q17" s="1"/>
      <c r="R17" s="14"/>
    </row>
    <row r="18" spans="1:18" x14ac:dyDescent="0.25">
      <c r="A18" s="14" t="s">
        <v>952</v>
      </c>
      <c r="B18" s="14">
        <f t="shared" si="6"/>
        <v>9.0588235294117747E-2</v>
      </c>
      <c r="C18" s="14">
        <f t="shared" si="2"/>
        <v>1.9411764705882371E-2</v>
      </c>
      <c r="D18" s="14">
        <f t="shared" si="3"/>
        <v>0.8899999999999999</v>
      </c>
      <c r="E18" s="14">
        <f>SUMPRODUCT(B18:D18,retornos!$B$28:$D$28)</f>
        <v>0.14153898842828216</v>
      </c>
      <c r="F18" s="14">
        <f t="shared" si="0"/>
        <v>4.1323549026018062E-3</v>
      </c>
      <c r="G18" s="14">
        <f t="shared" si="1"/>
        <v>1.5871020760832265E-3</v>
      </c>
      <c r="H18" s="14">
        <f t="shared" si="4"/>
        <v>6.428339523237557E-2</v>
      </c>
      <c r="I18" s="14">
        <f t="shared" si="5"/>
        <v>3.9838449719877739E-2</v>
      </c>
      <c r="J18" s="14"/>
      <c r="K18" s="14"/>
      <c r="L18" s="14"/>
      <c r="M18" s="1"/>
      <c r="N18" s="13"/>
      <c r="O18" s="1"/>
      <c r="P18" s="1"/>
      <c r="Q18" s="1"/>
      <c r="R18" s="14"/>
    </row>
    <row r="19" spans="1:18" x14ac:dyDescent="0.25">
      <c r="A19" s="14" t="s">
        <v>953</v>
      </c>
      <c r="B19" s="14">
        <f t="shared" si="6"/>
        <v>9.8823529411764754E-2</v>
      </c>
      <c r="C19" s="14">
        <f t="shared" si="2"/>
        <v>2.1176470588235314E-2</v>
      </c>
      <c r="D19" s="14">
        <f t="shared" si="3"/>
        <v>0.87999999999999989</v>
      </c>
      <c r="E19" s="14">
        <f>SUMPRODUCT(B19:D19,retornos!$B$28:$D$28)</f>
        <v>0.14236703787017702</v>
      </c>
      <c r="F19" s="14">
        <f t="shared" si="0"/>
        <v>4.3039604876279431E-3</v>
      </c>
      <c r="G19" s="14">
        <f t="shared" si="1"/>
        <v>1.8887826359998707E-3</v>
      </c>
      <c r="H19" s="14">
        <f t="shared" si="4"/>
        <v>6.5604576727755382E-2</v>
      </c>
      <c r="I19" s="14">
        <f t="shared" si="5"/>
        <v>4.3460126967139322E-2</v>
      </c>
      <c r="J19" s="14"/>
      <c r="K19" s="14"/>
      <c r="L19" s="14"/>
      <c r="M19" s="1"/>
      <c r="N19" s="13"/>
      <c r="O19" s="1"/>
      <c r="P19" s="1"/>
      <c r="Q19" s="1"/>
      <c r="R19" s="14"/>
    </row>
    <row r="20" spans="1:18" x14ac:dyDescent="0.25">
      <c r="A20" s="14" t="s">
        <v>954</v>
      </c>
      <c r="B20" s="14">
        <f t="shared" si="6"/>
        <v>0.10705882352941187</v>
      </c>
      <c r="C20" s="14">
        <f t="shared" si="2"/>
        <v>2.2941176470588256E-2</v>
      </c>
      <c r="D20" s="14">
        <f t="shared" si="3"/>
        <v>0.86999999999999988</v>
      </c>
      <c r="E20" s="14">
        <f>SUMPRODUCT(B20:D20,retornos!$B$28:$D$28)</f>
        <v>0.14319508731207189</v>
      </c>
      <c r="F20" s="14">
        <f t="shared" si="0"/>
        <v>4.5041054518326837E-3</v>
      </c>
      <c r="G20" s="14">
        <f t="shared" si="1"/>
        <v>2.2166962880831838E-3</v>
      </c>
      <c r="H20" s="14">
        <f t="shared" si="4"/>
        <v>6.7112632580108814E-2</v>
      </c>
      <c r="I20" s="14">
        <f t="shared" si="5"/>
        <v>4.708180421440096E-2</v>
      </c>
      <c r="J20" s="14"/>
      <c r="K20" s="14"/>
      <c r="L20" s="14"/>
      <c r="M20" s="1"/>
      <c r="N20" s="13"/>
      <c r="O20" s="1"/>
      <c r="P20" s="1"/>
      <c r="Q20" s="1"/>
      <c r="R20" s="14"/>
    </row>
    <row r="21" spans="1:18" x14ac:dyDescent="0.25">
      <c r="A21" s="14" t="s">
        <v>955</v>
      </c>
      <c r="B21" s="14">
        <f t="shared" si="6"/>
        <v>0.11529411764705888</v>
      </c>
      <c r="C21" s="14">
        <f t="shared" si="2"/>
        <v>2.4705882352941199E-2</v>
      </c>
      <c r="D21" s="14">
        <f t="shared" si="3"/>
        <v>0.85999999999999988</v>
      </c>
      <c r="E21" s="14">
        <f>SUMPRODUCT(B21:D21,retornos!$B$28:$D$28)</f>
        <v>0.14402313675396675</v>
      </c>
      <c r="F21" s="14">
        <f t="shared" si="0"/>
        <v>4.73278979521602E-3</v>
      </c>
      <c r="G21" s="14">
        <f t="shared" si="1"/>
        <v>2.5708430323331576E-3</v>
      </c>
      <c r="H21" s="14">
        <f t="shared" si="4"/>
        <v>6.8795274512251342E-2</v>
      </c>
      <c r="I21" s="14">
        <f t="shared" si="5"/>
        <v>5.070348146166255E-2</v>
      </c>
      <c r="J21" s="14"/>
      <c r="K21" s="14"/>
      <c r="L21" s="14"/>
      <c r="M21" s="1"/>
      <c r="N21" s="13"/>
      <c r="O21" s="1"/>
      <c r="P21" s="1"/>
      <c r="Q21" s="1"/>
      <c r="R21" s="14"/>
    </row>
    <row r="22" spans="1:18" x14ac:dyDescent="0.25">
      <c r="A22" s="14" t="s">
        <v>956</v>
      </c>
      <c r="B22" s="14">
        <f t="shared" si="6"/>
        <v>0.123529411764706</v>
      </c>
      <c r="C22" s="14">
        <f t="shared" si="2"/>
        <v>2.6470588235294142E-2</v>
      </c>
      <c r="D22" s="14">
        <f t="shared" si="3"/>
        <v>0.84999999999999987</v>
      </c>
      <c r="E22" s="14">
        <f>SUMPRODUCT(B22:D22,retornos!$B$28:$D$28)</f>
        <v>0.14485118619586163</v>
      </c>
      <c r="F22" s="14">
        <f t="shared" si="0"/>
        <v>4.9900135177779609E-3</v>
      </c>
      <c r="G22" s="14">
        <f t="shared" si="1"/>
        <v>2.9512228687498007E-3</v>
      </c>
      <c r="H22" s="14">
        <f t="shared" si="4"/>
        <v>7.0640027730586016E-2</v>
      </c>
      <c r="I22" s="14">
        <f t="shared" si="5"/>
        <v>5.4325158708924182E-2</v>
      </c>
      <c r="J22" s="14"/>
      <c r="K22" s="14"/>
      <c r="L22" s="14"/>
      <c r="M22" s="1"/>
      <c r="N22" s="13"/>
      <c r="O22" s="1"/>
      <c r="P22" s="1"/>
      <c r="Q22" s="1"/>
      <c r="R22" s="14"/>
    </row>
    <row r="23" spans="1:18" x14ac:dyDescent="0.25">
      <c r="A23" s="14" t="s">
        <v>957</v>
      </c>
      <c r="B23" s="14">
        <f t="shared" si="6"/>
        <v>0.13176470588235301</v>
      </c>
      <c r="C23" s="14">
        <f t="shared" si="2"/>
        <v>2.8235294117647084E-2</v>
      </c>
      <c r="D23" s="14">
        <f t="shared" si="3"/>
        <v>0.83999999999999986</v>
      </c>
      <c r="E23" s="14">
        <f>SUMPRODUCT(B23:D23,retornos!$B$28:$D$28)</f>
        <v>0.14567923563775648</v>
      </c>
      <c r="F23" s="14">
        <f t="shared" si="0"/>
        <v>5.2757766195184949E-3</v>
      </c>
      <c r="G23" s="14">
        <f t="shared" si="1"/>
        <v>3.3578357973331032E-3</v>
      </c>
      <c r="H23" s="14">
        <f t="shared" si="4"/>
        <v>7.26345415041528E-2</v>
      </c>
      <c r="I23" s="14">
        <f t="shared" si="5"/>
        <v>5.7946835956185765E-2</v>
      </c>
      <c r="J23" s="14"/>
      <c r="K23" s="14"/>
      <c r="L23" s="14"/>
      <c r="M23" s="1"/>
      <c r="N23" s="13"/>
      <c r="O23" s="1"/>
      <c r="P23" s="1"/>
      <c r="Q23" s="1"/>
      <c r="R23" s="14"/>
    </row>
    <row r="24" spans="1:18" x14ac:dyDescent="0.25">
      <c r="A24" s="14" t="s">
        <v>958</v>
      </c>
      <c r="B24" s="14">
        <f t="shared" si="6"/>
        <v>0.14000000000000012</v>
      </c>
      <c r="C24" s="14">
        <f t="shared" si="2"/>
        <v>3.000000000000003E-2</v>
      </c>
      <c r="D24" s="14">
        <f t="shared" si="3"/>
        <v>0.82999999999999985</v>
      </c>
      <c r="E24" s="14">
        <f>SUMPRODUCT(B24:D24,retornos!$B$28:$D$28)</f>
        <v>0.14650728507965133</v>
      </c>
      <c r="F24" s="14">
        <f t="shared" si="0"/>
        <v>5.5900791004376334E-3</v>
      </c>
      <c r="G24" s="14">
        <f t="shared" si="1"/>
        <v>3.7906818180830767E-3</v>
      </c>
      <c r="H24" s="14">
        <f t="shared" si="4"/>
        <v>7.476683155275228E-2</v>
      </c>
      <c r="I24" s="14">
        <f t="shared" si="5"/>
        <v>6.1568513203447396E-2</v>
      </c>
    </row>
    <row r="25" spans="1:18" x14ac:dyDescent="0.25">
      <c r="A25" s="14" t="s">
        <v>959</v>
      </c>
      <c r="B25" s="14">
        <f t="shared" si="6"/>
        <v>0.14823529411764724</v>
      </c>
      <c r="C25" s="14">
        <f t="shared" si="2"/>
        <v>3.1764705882352973E-2</v>
      </c>
      <c r="D25" s="14">
        <f t="shared" si="3"/>
        <v>0.81999999999999984</v>
      </c>
      <c r="E25" s="14">
        <f>SUMPRODUCT(B25:D25,retornos!$B$28:$D$28)</f>
        <v>0.14733533452154624</v>
      </c>
      <c r="F25" s="14">
        <f t="shared" si="0"/>
        <v>5.9329209605353738E-3</v>
      </c>
      <c r="G25" s="14">
        <f t="shared" si="1"/>
        <v>4.2497609309997148E-3</v>
      </c>
      <c r="H25" s="14">
        <f t="shared" si="4"/>
        <v>7.7025456574663503E-2</v>
      </c>
      <c r="I25" s="14">
        <f t="shared" si="5"/>
        <v>6.5190190450709035E-2</v>
      </c>
    </row>
    <row r="26" spans="1:18" x14ac:dyDescent="0.25">
      <c r="A26" s="14" t="s">
        <v>960</v>
      </c>
      <c r="B26" s="14">
        <f t="shared" si="6"/>
        <v>0.15647058823529425</v>
      </c>
      <c r="C26" s="14">
        <f t="shared" si="2"/>
        <v>3.3529411764705912E-2</v>
      </c>
      <c r="D26" s="14">
        <f t="shared" si="3"/>
        <v>0.80999999999999983</v>
      </c>
      <c r="E26" s="14">
        <f>SUMPRODUCT(B26:D26,retornos!$B$28:$D$28)</f>
        <v>0.14816338396344106</v>
      </c>
      <c r="F26" s="14">
        <f t="shared" si="0"/>
        <v>6.3043021998117057E-3</v>
      </c>
      <c r="G26" s="14">
        <f t="shared" si="1"/>
        <v>4.7350731360830123E-3</v>
      </c>
      <c r="H26" s="14">
        <f t="shared" si="4"/>
        <v>7.9399636018131131E-2</v>
      </c>
      <c r="I26" s="14">
        <f t="shared" si="5"/>
        <v>6.8811867697970625E-2</v>
      </c>
    </row>
    <row r="27" spans="1:18" x14ac:dyDescent="0.25">
      <c r="A27" s="14" t="s">
        <v>961</v>
      </c>
      <c r="B27" s="14">
        <f t="shared" si="6"/>
        <v>0.16470588235294137</v>
      </c>
      <c r="C27" s="14">
        <f t="shared" si="2"/>
        <v>3.5294117647058858E-2</v>
      </c>
      <c r="D27" s="14">
        <f t="shared" si="3"/>
        <v>0.79999999999999982</v>
      </c>
      <c r="E27" s="14">
        <f>SUMPRODUCT(B27:D27,retornos!$B$28:$D$28)</f>
        <v>0.14899143340533594</v>
      </c>
      <c r="F27" s="14">
        <f t="shared" si="0"/>
        <v>6.7042228182666464E-3</v>
      </c>
      <c r="G27" s="14">
        <f t="shared" si="1"/>
        <v>5.2466184333329812E-3</v>
      </c>
      <c r="H27" s="14">
        <f t="shared" si="4"/>
        <v>8.187931862360999E-2</v>
      </c>
      <c r="I27" s="14">
        <f t="shared" si="5"/>
        <v>7.2433544945232256E-2</v>
      </c>
    </row>
    <row r="28" spans="1:18" x14ac:dyDescent="0.25">
      <c r="A28" t="s">
        <v>962</v>
      </c>
      <c r="B28" s="14">
        <f t="shared" si="6"/>
        <v>0.17294117647058838</v>
      </c>
      <c r="C28" s="14">
        <f t="shared" si="2"/>
        <v>3.7058823529411797E-2</v>
      </c>
      <c r="D28" s="14">
        <f t="shared" si="3"/>
        <v>0.78999999999999981</v>
      </c>
      <c r="E28" s="14">
        <f>SUMPRODUCT(B28:D28,retornos!$B$28:$D$28)</f>
        <v>0.14981948284723079</v>
      </c>
      <c r="F28" s="14">
        <f t="shared" si="0"/>
        <v>7.1326828159001794E-3</v>
      </c>
      <c r="G28" s="14">
        <f t="shared" si="1"/>
        <v>5.7843968227496078E-3</v>
      </c>
      <c r="H28" s="14">
        <f t="shared" si="4"/>
        <v>8.4455211893051219E-2</v>
      </c>
      <c r="I28" s="14">
        <f t="shared" si="5"/>
        <v>7.6055222192493846E-2</v>
      </c>
    </row>
    <row r="29" spans="1:18" x14ac:dyDescent="0.25">
      <c r="A29" s="14" t="s">
        <v>963</v>
      </c>
      <c r="B29" s="14">
        <f t="shared" si="6"/>
        <v>0.18117647058823549</v>
      </c>
      <c r="C29" s="14">
        <f t="shared" si="2"/>
        <v>3.8823529411764743E-2</v>
      </c>
      <c r="D29" s="14">
        <f t="shared" si="3"/>
        <v>0.7799999999999998</v>
      </c>
      <c r="E29" s="14">
        <f>SUMPRODUCT(B29:D29,retornos!$B$28:$D$28)</f>
        <v>0.15064753228912567</v>
      </c>
      <c r="F29" s="14">
        <f t="shared" si="0"/>
        <v>7.5896821927123161E-3</v>
      </c>
      <c r="G29" s="14">
        <f t="shared" si="1"/>
        <v>6.3484083043329059E-3</v>
      </c>
      <c r="H29" s="14">
        <f t="shared" si="4"/>
        <v>8.7118782089239039E-2</v>
      </c>
      <c r="I29" s="14">
        <f t="shared" si="5"/>
        <v>7.9676899439755478E-2</v>
      </c>
    </row>
    <row r="30" spans="1:18" x14ac:dyDescent="0.25">
      <c r="A30" s="14" t="s">
        <v>964</v>
      </c>
      <c r="B30" s="14">
        <f t="shared" si="6"/>
        <v>0.1894117647058825</v>
      </c>
      <c r="C30" s="14">
        <f t="shared" si="2"/>
        <v>4.0588235294117689E-2</v>
      </c>
      <c r="D30" s="14">
        <f t="shared" si="3"/>
        <v>0.7699999999999998</v>
      </c>
      <c r="E30" s="14">
        <f>SUMPRODUCT(B30:D30,retornos!$B$28:$D$28)</f>
        <v>0.15147558173102049</v>
      </c>
      <c r="F30" s="14">
        <f t="shared" si="0"/>
        <v>8.0752209487030477E-3</v>
      </c>
      <c r="G30" s="14">
        <f t="shared" si="1"/>
        <v>6.9386528780828608E-3</v>
      </c>
      <c r="H30" s="14">
        <f t="shared" si="4"/>
        <v>8.9862233161117508E-2</v>
      </c>
      <c r="I30" s="14">
        <f t="shared" si="5"/>
        <v>8.3298576687017054E-2</v>
      </c>
    </row>
    <row r="31" spans="1:18" x14ac:dyDescent="0.25">
      <c r="A31" s="14" t="s">
        <v>965</v>
      </c>
      <c r="B31" s="14">
        <f t="shared" si="6"/>
        <v>0.19764705882352962</v>
      </c>
      <c r="C31" s="14">
        <f t="shared" si="2"/>
        <v>4.2352941176470628E-2</v>
      </c>
      <c r="D31" s="14">
        <f t="shared" si="3"/>
        <v>0.75999999999999979</v>
      </c>
      <c r="E31" s="14">
        <f>SUMPRODUCT(B31:D31,retornos!$B$28:$D$28)</f>
        <v>0.15230363117291537</v>
      </c>
      <c r="F31" s="14">
        <f t="shared" si="0"/>
        <v>8.5892990838723881E-3</v>
      </c>
      <c r="G31" s="14">
        <f t="shared" si="1"/>
        <v>7.5551305439994906E-3</v>
      </c>
      <c r="H31" s="14">
        <f t="shared" si="4"/>
        <v>9.2678471523177319E-2</v>
      </c>
      <c r="I31" s="14">
        <f t="shared" si="5"/>
        <v>8.6920253934278699E-2</v>
      </c>
    </row>
    <row r="32" spans="1:18" x14ac:dyDescent="0.25">
      <c r="A32" s="14" t="s">
        <v>966</v>
      </c>
      <c r="B32" s="14">
        <f t="shared" si="6"/>
        <v>0.20588235294117663</v>
      </c>
      <c r="C32" s="14">
        <f t="shared" si="2"/>
        <v>4.4117647058823574E-2</v>
      </c>
      <c r="D32" s="14">
        <f t="shared" si="3"/>
        <v>0.74999999999999978</v>
      </c>
      <c r="E32" s="14">
        <f>SUMPRODUCT(B32:D32,retornos!$B$28:$D$28)</f>
        <v>0.15313168061481022</v>
      </c>
      <c r="F32" s="14">
        <f t="shared" si="0"/>
        <v>9.1319165982203174E-3</v>
      </c>
      <c r="G32" s="14">
        <f t="shared" si="1"/>
        <v>8.1978413020827763E-3</v>
      </c>
      <c r="H32" s="14">
        <f t="shared" si="4"/>
        <v>9.5561062144684836E-2</v>
      </c>
      <c r="I32" s="14">
        <f t="shared" si="5"/>
        <v>9.0541931181540275E-2</v>
      </c>
      <c r="J32" s="14"/>
      <c r="K32" s="14"/>
      <c r="L32" s="14"/>
      <c r="M32" s="1"/>
      <c r="N32" s="13"/>
      <c r="O32" s="1"/>
      <c r="P32" s="1"/>
      <c r="Q32" s="1"/>
      <c r="R32" s="14"/>
    </row>
    <row r="33" spans="1:18" x14ac:dyDescent="0.25">
      <c r="A33" s="14" t="s">
        <v>967</v>
      </c>
      <c r="B33" s="14">
        <f t="shared" si="6"/>
        <v>0.21411764705882375</v>
      </c>
      <c r="C33" s="14">
        <f t="shared" si="2"/>
        <v>4.5882352941176513E-2</v>
      </c>
      <c r="D33" s="14">
        <f t="shared" si="3"/>
        <v>0.73999999999999977</v>
      </c>
      <c r="E33" s="14">
        <f>SUMPRODUCT(B33:D33,retornos!$B$28:$D$28)</f>
        <v>0.1539597300567051</v>
      </c>
      <c r="F33" s="14">
        <f t="shared" si="0"/>
        <v>9.7030734917468546E-3</v>
      </c>
      <c r="G33" s="14">
        <f t="shared" si="1"/>
        <v>8.8667851523327353E-3</v>
      </c>
      <c r="H33" s="14">
        <f t="shared" si="4"/>
        <v>9.850418007245608E-2</v>
      </c>
      <c r="I33" s="14">
        <f t="shared" si="5"/>
        <v>9.416360842880192E-2</v>
      </c>
      <c r="K33" s="14"/>
      <c r="L33" s="14"/>
      <c r="M33" s="1"/>
      <c r="N33" s="13"/>
      <c r="O33" s="1"/>
      <c r="P33" s="1"/>
      <c r="Q33" s="1"/>
      <c r="R33" s="14"/>
    </row>
    <row r="34" spans="1:18" x14ac:dyDescent="0.25">
      <c r="A34" s="14" t="s">
        <v>968</v>
      </c>
      <c r="B34" s="14">
        <f t="shared" si="6"/>
        <v>0.22235294117647075</v>
      </c>
      <c r="C34" s="14">
        <f t="shared" si="2"/>
        <v>4.7647058823529459E-2</v>
      </c>
      <c r="D34" s="14">
        <f t="shared" si="3"/>
        <v>0.72999999999999976</v>
      </c>
      <c r="E34" s="14">
        <f>SUMPRODUCT(B34:D34,retornos!$B$28:$D$28)</f>
        <v>0.15478777949859995</v>
      </c>
      <c r="F34" s="14">
        <f t="shared" si="0"/>
        <v>1.0302769764451984E-2</v>
      </c>
      <c r="G34" s="14">
        <f t="shared" si="1"/>
        <v>9.5619620947493492E-3</v>
      </c>
      <c r="H34" s="14">
        <f t="shared" si="4"/>
        <v>0.10150256038372621</v>
      </c>
      <c r="I34" s="14">
        <f t="shared" si="5"/>
        <v>9.7785285676063496E-2</v>
      </c>
      <c r="J34" s="14"/>
      <c r="K34" s="14"/>
      <c r="L34" s="14"/>
      <c r="M34" s="1"/>
      <c r="N34" s="13"/>
      <c r="O34" s="1"/>
      <c r="P34" s="1"/>
      <c r="Q34" s="1"/>
      <c r="R34" s="14"/>
    </row>
    <row r="35" spans="1:18" x14ac:dyDescent="0.25">
      <c r="A35" s="14" t="s">
        <v>969</v>
      </c>
      <c r="B35" s="14">
        <f t="shared" si="6"/>
        <v>0.23058823529411787</v>
      </c>
      <c r="C35" s="14">
        <f t="shared" si="2"/>
        <v>4.9411764705882398E-2</v>
      </c>
      <c r="D35" s="14">
        <f t="shared" si="3"/>
        <v>0.71999999999999975</v>
      </c>
      <c r="E35" s="14">
        <f>SUMPRODUCT(B35:D35,retornos!$B$28:$D$28)</f>
        <v>0.1556158289404948</v>
      </c>
      <c r="F35" s="14">
        <f t="shared" si="0"/>
        <v>1.093100541633572E-2</v>
      </c>
      <c r="G35" s="14">
        <f t="shared" si="1"/>
        <v>1.0283372129332637E-2</v>
      </c>
      <c r="H35" s="14">
        <f t="shared" si="4"/>
        <v>0.10455144865727935</v>
      </c>
      <c r="I35" s="14">
        <f t="shared" si="5"/>
        <v>0.10140696292332513</v>
      </c>
      <c r="J35" s="14"/>
      <c r="K35" s="14"/>
      <c r="L35" s="14"/>
      <c r="M35" s="1"/>
      <c r="N35" s="13"/>
      <c r="O35" s="1"/>
      <c r="P35" s="1"/>
      <c r="Q35" s="1"/>
      <c r="R35" s="14"/>
    </row>
    <row r="36" spans="1:18" x14ac:dyDescent="0.25">
      <c r="A36" s="14" t="s">
        <v>970</v>
      </c>
      <c r="B36" s="14">
        <f t="shared" si="6"/>
        <v>0.23882352941176488</v>
      </c>
      <c r="C36" s="14">
        <f t="shared" si="2"/>
        <v>5.1176470588235344E-2</v>
      </c>
      <c r="D36" s="14">
        <f t="shared" si="3"/>
        <v>0.70999999999999974</v>
      </c>
      <c r="E36" s="14">
        <f>SUMPRODUCT(B36:D36,retornos!$B$28:$D$28)</f>
        <v>0.15644387838238968</v>
      </c>
      <c r="F36" s="14">
        <f t="shared" si="0"/>
        <v>1.158778044739805E-2</v>
      </c>
      <c r="G36" s="14">
        <f t="shared" si="1"/>
        <v>1.1031015256082582E-2</v>
      </c>
      <c r="H36" s="14">
        <f t="shared" si="4"/>
        <v>0.1076465533465798</v>
      </c>
      <c r="I36" s="14">
        <f t="shared" si="5"/>
        <v>0.10502864017058672</v>
      </c>
      <c r="J36" s="14"/>
      <c r="K36" s="14"/>
      <c r="L36" s="14"/>
      <c r="M36" s="1"/>
      <c r="N36" s="13"/>
      <c r="O36" s="1"/>
      <c r="P36" s="1"/>
      <c r="Q36" s="1"/>
      <c r="R36" s="14"/>
    </row>
    <row r="37" spans="1:18" x14ac:dyDescent="0.25">
      <c r="A37" s="14" t="s">
        <v>971</v>
      </c>
      <c r="B37" s="14">
        <f t="shared" si="6"/>
        <v>0.247058823529412</v>
      </c>
      <c r="C37" s="14">
        <f t="shared" si="2"/>
        <v>5.2941176470588283E-2</v>
      </c>
      <c r="D37" s="14">
        <f t="shared" si="3"/>
        <v>0.69999999999999973</v>
      </c>
      <c r="E37" s="14">
        <f>SUMPRODUCT(B37:D37,retornos!$B$28:$D$28)</f>
        <v>0.15727192782428456</v>
      </c>
      <c r="F37" s="14">
        <f t="shared" si="0"/>
        <v>1.2273094857638988E-2</v>
      </c>
      <c r="G37" s="14">
        <f t="shared" si="1"/>
        <v>1.1804891474999203E-2</v>
      </c>
      <c r="H37" s="14">
        <f t="shared" si="4"/>
        <v>0.11078400091005464</v>
      </c>
      <c r="I37" s="14">
        <f t="shared" si="5"/>
        <v>0.10865031741784836</v>
      </c>
      <c r="J37" s="14"/>
      <c r="K37" s="14"/>
      <c r="L37" s="14"/>
      <c r="M37" s="1"/>
      <c r="N37" s="13"/>
      <c r="O37" s="1"/>
      <c r="P37" s="1"/>
      <c r="Q37" s="1"/>
      <c r="R37" s="14"/>
    </row>
    <row r="38" spans="1:18" x14ac:dyDescent="0.25">
      <c r="A38" s="14" t="s">
        <v>972</v>
      </c>
      <c r="B38" s="14">
        <f t="shared" si="6"/>
        <v>0.255294117647059</v>
      </c>
      <c r="C38" s="14">
        <f t="shared" si="2"/>
        <v>5.4705882352941229E-2</v>
      </c>
      <c r="D38" s="14">
        <f t="shared" si="3"/>
        <v>0.68999999999999972</v>
      </c>
      <c r="E38" s="14">
        <f>SUMPRODUCT(B38:D38,retornos!$B$28:$D$28)</f>
        <v>0.15809997726617939</v>
      </c>
      <c r="F38" s="14">
        <f t="shared" si="0"/>
        <v>1.2986948647058514E-2</v>
      </c>
      <c r="G38" s="14">
        <f t="shared" si="1"/>
        <v>1.2605000786082477E-2</v>
      </c>
      <c r="H38" s="14">
        <f t="shared" si="4"/>
        <v>0.11396029416888373</v>
      </c>
      <c r="I38" s="14">
        <f t="shared" si="5"/>
        <v>0.11227199466510995</v>
      </c>
      <c r="J38" s="14"/>
      <c r="K38" s="14"/>
      <c r="L38" s="14"/>
      <c r="M38" s="1"/>
      <c r="N38" s="13"/>
      <c r="O38" s="1"/>
      <c r="P38" s="1"/>
      <c r="Q38" s="1"/>
      <c r="R38" s="14"/>
    </row>
    <row r="39" spans="1:18" x14ac:dyDescent="0.25">
      <c r="A39" s="14" t="s">
        <v>973</v>
      </c>
      <c r="B39" s="14">
        <f t="shared" si="6"/>
        <v>0.26352941176470612</v>
      </c>
      <c r="C39" s="14">
        <f t="shared" si="2"/>
        <v>5.6470588235294168E-2</v>
      </c>
      <c r="D39" s="14">
        <f t="shared" si="3"/>
        <v>0.67999999999999972</v>
      </c>
      <c r="E39" s="14">
        <f>SUMPRODUCT(B39:D39,retornos!$B$28:$D$28)</f>
        <v>0.15892802670807427</v>
      </c>
      <c r="F39" s="14">
        <f t="shared" ref="F39:F70" si="7">B39^2*variância_a1+C39^2*variância_a2+D39^2*variância_a3+2*B39*C39*cov_a1_a2+2*B39*D39*cov_a1_a3+2*C39*D39*cov_a2_a3</f>
        <v>1.3729341815656652E-2</v>
      </c>
      <c r="G39" s="14">
        <f t="shared" ref="G39:G70" si="8">B39^2*variância_a1+C39^2*variância_a2+2*B39*C39*cov_a1_a2</f>
        <v>1.3431343189332425E-2</v>
      </c>
      <c r="H39" s="14">
        <f t="shared" si="4"/>
        <v>0.11717227409100095</v>
      </c>
      <c r="I39" s="14">
        <f t="shared" si="5"/>
        <v>0.11589367191237158</v>
      </c>
      <c r="J39" s="14"/>
      <c r="K39" s="14"/>
      <c r="L39" s="14"/>
      <c r="M39" s="1"/>
      <c r="N39" s="13"/>
      <c r="O39" s="1"/>
      <c r="P39" s="1"/>
      <c r="Q39" s="1"/>
      <c r="R39" s="14"/>
    </row>
    <row r="40" spans="1:18" x14ac:dyDescent="0.25">
      <c r="A40" s="14" t="s">
        <v>974</v>
      </c>
      <c r="B40" s="14">
        <f t="shared" si="6"/>
        <v>0.27176470588235313</v>
      </c>
      <c r="C40" s="14">
        <f t="shared" ref="C40:C71" si="9">(1-D40)*$W$7</f>
        <v>5.8235294117647114E-2</v>
      </c>
      <c r="D40" s="14">
        <f t="shared" ref="D40:D71" si="10">D39-$W$6</f>
        <v>0.66999999999999971</v>
      </c>
      <c r="E40" s="14">
        <f>SUMPRODUCT(B40:D40,retornos!$B$28:$D$28)</f>
        <v>0.15975607614996912</v>
      </c>
      <c r="F40" s="14">
        <f t="shared" si="7"/>
        <v>1.4500274363433376E-2</v>
      </c>
      <c r="G40" s="14">
        <f t="shared" si="8"/>
        <v>1.4283918684749026E-2</v>
      </c>
      <c r="H40" s="14">
        <f t="shared" si="4"/>
        <v>0.12041708501468293</v>
      </c>
      <c r="I40" s="14">
        <f t="shared" si="5"/>
        <v>0.11951534915963316</v>
      </c>
      <c r="J40" s="14"/>
      <c r="K40" s="14"/>
      <c r="L40" s="14"/>
      <c r="M40" s="1"/>
      <c r="N40" s="13"/>
      <c r="O40" s="1"/>
      <c r="P40" s="1"/>
      <c r="Q40" s="1"/>
      <c r="R40" s="14"/>
    </row>
    <row r="41" spans="1:18" x14ac:dyDescent="0.25">
      <c r="A41" s="14" t="s">
        <v>975</v>
      </c>
      <c r="B41" s="14">
        <f t="shared" si="6"/>
        <v>0.28000000000000025</v>
      </c>
      <c r="C41" s="14">
        <f t="shared" si="9"/>
        <v>6.000000000000006E-2</v>
      </c>
      <c r="D41" s="14">
        <f t="shared" si="10"/>
        <v>0.6599999999999997</v>
      </c>
      <c r="E41" s="14">
        <f>SUMPRODUCT(B41:D41,retornos!$B$28:$D$28)</f>
        <v>0.160584125591864</v>
      </c>
      <c r="F41" s="14">
        <f t="shared" si="7"/>
        <v>1.5299746290388714E-2</v>
      </c>
      <c r="G41" s="14">
        <f t="shared" si="8"/>
        <v>1.5162727272332307E-2</v>
      </c>
      <c r="H41" s="14">
        <f t="shared" si="4"/>
        <v>0.12369214320395905</v>
      </c>
      <c r="I41" s="14">
        <f t="shared" si="5"/>
        <v>0.12313702640689479</v>
      </c>
      <c r="J41" s="14"/>
      <c r="K41" s="14"/>
      <c r="L41" s="14"/>
      <c r="M41" s="1"/>
      <c r="N41" s="13"/>
      <c r="O41" s="1"/>
      <c r="P41" s="1"/>
      <c r="Q41" s="1"/>
    </row>
    <row r="42" spans="1:18" x14ac:dyDescent="0.25">
      <c r="A42" s="14" t="s">
        <v>976</v>
      </c>
      <c r="B42" s="14">
        <f t="shared" si="6"/>
        <v>0.28823529411764737</v>
      </c>
      <c r="C42" s="14">
        <f t="shared" si="9"/>
        <v>6.1764705882352999E-2</v>
      </c>
      <c r="D42" s="14">
        <f t="shared" si="10"/>
        <v>0.64999999999999969</v>
      </c>
      <c r="E42" s="14">
        <f>SUMPRODUCT(B42:D42,retornos!$B$28:$D$28)</f>
        <v>0.16141217503375885</v>
      </c>
      <c r="F42" s="14">
        <f t="shared" si="7"/>
        <v>1.612775759652265E-2</v>
      </c>
      <c r="G42" s="14">
        <f t="shared" si="8"/>
        <v>1.6067768952082253E-2</v>
      </c>
      <c r="H42" s="14">
        <f t="shared" si="4"/>
        <v>0.12699510855352913</v>
      </c>
      <c r="I42" s="14">
        <f t="shared" si="5"/>
        <v>0.12675870365415645</v>
      </c>
      <c r="J42" s="14"/>
      <c r="K42" s="14"/>
      <c r="L42" s="14"/>
      <c r="M42" s="1"/>
      <c r="N42" s="13"/>
      <c r="O42" s="1"/>
      <c r="P42" s="1"/>
      <c r="Q42" s="1"/>
    </row>
    <row r="43" spans="1:18" x14ac:dyDescent="0.25">
      <c r="A43" s="14" t="s">
        <v>977</v>
      </c>
      <c r="B43" s="14">
        <f t="shared" si="6"/>
        <v>0.29647058823529437</v>
      </c>
      <c r="C43" s="14">
        <f t="shared" si="9"/>
        <v>6.3529411764705945E-2</v>
      </c>
      <c r="D43" s="14">
        <f t="shared" si="10"/>
        <v>0.63999999999999968</v>
      </c>
      <c r="E43" s="14">
        <f>SUMPRODUCT(B43:D43,retornos!$B$28:$D$28)</f>
        <v>0.16224022447565373</v>
      </c>
      <c r="F43" s="14">
        <f t="shared" si="7"/>
        <v>1.6984308281835173E-2</v>
      </c>
      <c r="G43" s="14">
        <f t="shared" si="8"/>
        <v>1.6999043723998849E-2</v>
      </c>
      <c r="H43" s="14">
        <f t="shared" si="4"/>
        <v>0.13032385921938919</v>
      </c>
      <c r="I43" s="14">
        <f t="shared" si="5"/>
        <v>0.13038038090141801</v>
      </c>
      <c r="J43" s="14"/>
      <c r="K43" s="14"/>
      <c r="L43" s="14"/>
      <c r="M43" s="1"/>
      <c r="N43" s="13"/>
      <c r="O43" s="1"/>
      <c r="P43" s="1"/>
      <c r="Q43" s="1"/>
      <c r="R43" s="14"/>
    </row>
    <row r="44" spans="1:18" x14ac:dyDescent="0.25">
      <c r="A44" s="14" t="s">
        <v>978</v>
      </c>
      <c r="B44" s="14">
        <f t="shared" si="6"/>
        <v>0.30470588235294138</v>
      </c>
      <c r="C44" s="14">
        <f t="shared" si="9"/>
        <v>6.5294117647058891E-2</v>
      </c>
      <c r="D44" s="14">
        <f t="shared" si="10"/>
        <v>0.62999999999999967</v>
      </c>
      <c r="E44" s="14">
        <f>SUMPRODUCT(B44:D44,retornos!$B$28:$D$28)</f>
        <v>0.16306827391754858</v>
      </c>
      <c r="F44" s="14">
        <f t="shared" si="7"/>
        <v>1.7869398346326296E-2</v>
      </c>
      <c r="G44" s="14">
        <f t="shared" si="8"/>
        <v>1.7956551588082108E-2</v>
      </c>
      <c r="H44" s="14">
        <f t="shared" si="4"/>
        <v>0.13367646893274185</v>
      </c>
      <c r="I44" s="14">
        <f t="shared" si="5"/>
        <v>0.1340020581486796</v>
      </c>
      <c r="J44" s="14"/>
      <c r="K44" s="14"/>
      <c r="L44" s="14"/>
      <c r="M44" s="1"/>
      <c r="N44" s="13"/>
      <c r="O44" s="1"/>
      <c r="P44" s="1"/>
      <c r="Q44" s="1"/>
      <c r="R44" s="14"/>
    </row>
    <row r="45" spans="1:18" x14ac:dyDescent="0.25">
      <c r="A45" s="14" t="s">
        <v>979</v>
      </c>
      <c r="B45" s="14">
        <f t="shared" si="6"/>
        <v>0.3129411764705885</v>
      </c>
      <c r="C45" s="14">
        <f t="shared" si="9"/>
        <v>6.7058823529411823E-2</v>
      </c>
      <c r="D45" s="14">
        <f t="shared" si="10"/>
        <v>0.61999999999999966</v>
      </c>
      <c r="E45" s="14">
        <f>SUMPRODUCT(B45:D45,retornos!$B$28:$D$28)</f>
        <v>0.16389632335944343</v>
      </c>
      <c r="F45" s="14">
        <f t="shared" si="7"/>
        <v>1.8783027789996035E-2</v>
      </c>
      <c r="G45" s="14">
        <f t="shared" si="8"/>
        <v>1.8940292544332049E-2</v>
      </c>
      <c r="H45" s="14">
        <f t="shared" si="4"/>
        <v>0.13705118675150549</v>
      </c>
      <c r="I45" s="14">
        <f t="shared" si="5"/>
        <v>0.13762373539594125</v>
      </c>
      <c r="J45" s="14"/>
      <c r="K45" s="14"/>
      <c r="L45" s="14"/>
      <c r="M45" s="1"/>
      <c r="N45" s="13"/>
      <c r="O45" s="1"/>
      <c r="P45" s="1"/>
      <c r="Q45" s="1"/>
      <c r="R45" s="14"/>
    </row>
    <row r="46" spans="1:18" x14ac:dyDescent="0.25">
      <c r="A46" s="14" t="s">
        <v>980</v>
      </c>
      <c r="B46" s="14">
        <f t="shared" si="6"/>
        <v>0.32117647058823562</v>
      </c>
      <c r="C46" s="14">
        <f t="shared" si="9"/>
        <v>6.8823529411764769E-2</v>
      </c>
      <c r="D46" s="14">
        <f t="shared" si="10"/>
        <v>0.60999999999999965</v>
      </c>
      <c r="E46" s="14">
        <f>SUMPRODUCT(B46:D46,retornos!$B$28:$D$28)</f>
        <v>0.16472437280133828</v>
      </c>
      <c r="F46" s="14">
        <f t="shared" si="7"/>
        <v>1.9725196612844369E-2</v>
      </c>
      <c r="G46" s="14">
        <f t="shared" si="8"/>
        <v>1.9950266592748653E-2</v>
      </c>
      <c r="H46" s="14">
        <f t="shared" si="4"/>
        <v>0.14044641901039831</v>
      </c>
      <c r="I46" s="14">
        <f t="shared" si="5"/>
        <v>0.14124541264320287</v>
      </c>
      <c r="J46" s="14"/>
      <c r="K46" s="14"/>
      <c r="L46" s="14"/>
      <c r="M46" s="1"/>
      <c r="N46" s="13"/>
      <c r="O46" s="1"/>
      <c r="P46" s="1"/>
      <c r="Q46" s="1"/>
      <c r="R46" s="14"/>
    </row>
    <row r="47" spans="1:18" x14ac:dyDescent="0.25">
      <c r="A47" s="14" t="s">
        <v>981</v>
      </c>
      <c r="B47" s="14">
        <f t="shared" si="6"/>
        <v>0.32941176470588263</v>
      </c>
      <c r="C47" s="14">
        <f t="shared" si="9"/>
        <v>7.0588235294117715E-2</v>
      </c>
      <c r="D47" s="14">
        <f t="shared" si="10"/>
        <v>0.59999999999999964</v>
      </c>
      <c r="E47" s="14">
        <f>SUMPRODUCT(B47:D47,retornos!$B$28:$D$28)</f>
        <v>0.16555242224323316</v>
      </c>
      <c r="F47" s="14">
        <f t="shared" si="7"/>
        <v>2.0695904814871297E-2</v>
      </c>
      <c r="G47" s="14">
        <f t="shared" si="8"/>
        <v>2.0986473733331911E-2</v>
      </c>
      <c r="H47" s="14">
        <f t="shared" si="4"/>
        <v>0.14386071324330105</v>
      </c>
      <c r="I47" s="14">
        <f t="shared" si="5"/>
        <v>0.14486708989046446</v>
      </c>
      <c r="J47" s="14"/>
      <c r="K47" s="14"/>
      <c r="L47" s="14"/>
      <c r="M47" s="1"/>
      <c r="N47" s="13"/>
      <c r="O47" s="1"/>
      <c r="P47" s="1"/>
      <c r="Q47" s="1"/>
      <c r="R47" s="14"/>
    </row>
    <row r="48" spans="1:18" x14ac:dyDescent="0.25">
      <c r="A48" s="14" t="s">
        <v>982</v>
      </c>
      <c r="B48" s="14">
        <f t="shared" si="6"/>
        <v>0.33764705882352974</v>
      </c>
      <c r="C48" s="14">
        <f t="shared" si="9"/>
        <v>7.2352941176470661E-2</v>
      </c>
      <c r="D48" s="14">
        <f t="shared" si="10"/>
        <v>0.58999999999999964</v>
      </c>
      <c r="E48" s="14">
        <f>SUMPRODUCT(B48:D48,retornos!$B$28:$D$28)</f>
        <v>0.16638047168512804</v>
      </c>
      <c r="F48" s="14">
        <f t="shared" si="7"/>
        <v>2.1695152396076826E-2</v>
      </c>
      <c r="G48" s="14">
        <f t="shared" si="8"/>
        <v>2.2048913966081843E-2</v>
      </c>
      <c r="H48" s="14">
        <f t="shared" si="4"/>
        <v>0.14729274386770322</v>
      </c>
      <c r="I48" s="14">
        <f t="shared" si="5"/>
        <v>0.14848876713772607</v>
      </c>
      <c r="J48" s="14"/>
      <c r="K48" s="14"/>
      <c r="L48" s="14"/>
      <c r="M48" s="1"/>
      <c r="N48" s="13"/>
      <c r="O48" s="1"/>
      <c r="P48" s="1"/>
      <c r="Q48" s="1"/>
      <c r="R48" s="14"/>
    </row>
    <row r="49" spans="1:18" x14ac:dyDescent="0.25">
      <c r="A49" s="14" t="s">
        <v>983</v>
      </c>
      <c r="B49" s="14">
        <f t="shared" si="6"/>
        <v>0.34588235294117675</v>
      </c>
      <c r="C49" s="14">
        <f t="shared" si="9"/>
        <v>7.4117647058823594E-2</v>
      </c>
      <c r="D49" s="14">
        <f t="shared" si="10"/>
        <v>0.57999999999999963</v>
      </c>
      <c r="E49" s="14">
        <f>SUMPRODUCT(B49:D49,retornos!$B$28:$D$28)</f>
        <v>0.16720852112702289</v>
      </c>
      <c r="F49" s="14">
        <f t="shared" si="7"/>
        <v>2.2722939356460952E-2</v>
      </c>
      <c r="G49" s="14">
        <f t="shared" si="8"/>
        <v>2.3137587290998431E-2</v>
      </c>
      <c r="H49" s="14">
        <f t="shared" si="4"/>
        <v>0.15074129943867723</v>
      </c>
      <c r="I49" s="14">
        <f t="shared" si="5"/>
        <v>0.15211044438498769</v>
      </c>
      <c r="J49" s="14"/>
      <c r="K49" s="14"/>
      <c r="L49" s="14"/>
      <c r="M49" s="1"/>
      <c r="N49" s="13"/>
      <c r="O49" s="1"/>
      <c r="P49" s="1"/>
      <c r="Q49" s="1"/>
      <c r="R49" s="14"/>
    </row>
    <row r="50" spans="1:18" x14ac:dyDescent="0.25">
      <c r="A50" s="14" t="s">
        <v>984</v>
      </c>
      <c r="B50" s="14">
        <f t="shared" si="6"/>
        <v>0.35411764705882387</v>
      </c>
      <c r="C50" s="14">
        <f t="shared" si="9"/>
        <v>7.588235294117654E-2</v>
      </c>
      <c r="D50" s="14">
        <f t="shared" si="10"/>
        <v>0.56999999999999962</v>
      </c>
      <c r="E50" s="14">
        <f>SUMPRODUCT(B50:D50,retornos!$B$28:$D$28)</f>
        <v>0.16803657056891774</v>
      </c>
      <c r="F50" s="14">
        <f t="shared" si="7"/>
        <v>2.3779265696023687E-2</v>
      </c>
      <c r="G50" s="14">
        <f t="shared" si="8"/>
        <v>2.4252493708081697E-2</v>
      </c>
      <c r="H50" s="14">
        <f t="shared" si="4"/>
        <v>0.15420527129778569</v>
      </c>
      <c r="I50" s="14">
        <f t="shared" si="5"/>
        <v>0.15573212163224931</v>
      </c>
      <c r="J50" s="14"/>
      <c r="K50" s="14"/>
      <c r="L50" s="14"/>
      <c r="M50" s="1"/>
      <c r="N50" s="13"/>
      <c r="O50" s="1"/>
      <c r="P50" s="1"/>
      <c r="Q50" s="1"/>
      <c r="R50" s="14"/>
    </row>
    <row r="51" spans="1:18" x14ac:dyDescent="0.25">
      <c r="A51" s="14" t="s">
        <v>985</v>
      </c>
      <c r="B51" s="14">
        <f t="shared" si="6"/>
        <v>0.36235294117647088</v>
      </c>
      <c r="C51" s="14">
        <f t="shared" si="9"/>
        <v>7.7647058823529486E-2</v>
      </c>
      <c r="D51" s="14">
        <f t="shared" si="10"/>
        <v>0.55999999999999961</v>
      </c>
      <c r="E51" s="14">
        <f>SUMPRODUCT(B51:D51,retornos!$B$28:$D$28)</f>
        <v>0.16886462001081259</v>
      </c>
      <c r="F51" s="14">
        <f t="shared" si="7"/>
        <v>2.4864131414765005E-2</v>
      </c>
      <c r="G51" s="14">
        <f t="shared" si="8"/>
        <v>2.5393633217331606E-2</v>
      </c>
      <c r="H51" s="14">
        <f t="shared" si="4"/>
        <v>0.15768364345982436</v>
      </c>
      <c r="I51" s="14">
        <f t="shared" si="5"/>
        <v>0.1593537988795109</v>
      </c>
      <c r="J51" s="14"/>
      <c r="K51" s="14"/>
      <c r="L51" s="14"/>
      <c r="M51" s="1"/>
      <c r="N51" s="13"/>
      <c r="O51" s="1"/>
      <c r="P51" s="1"/>
      <c r="Q51" s="1"/>
      <c r="R51" s="14"/>
    </row>
    <row r="52" spans="1:18" x14ac:dyDescent="0.25">
      <c r="A52" s="14" t="s">
        <v>986</v>
      </c>
      <c r="B52" s="14">
        <f t="shared" si="6"/>
        <v>0.370588235294118</v>
      </c>
      <c r="C52" s="14">
        <f t="shared" si="9"/>
        <v>7.9411764705882432E-2</v>
      </c>
      <c r="D52" s="14">
        <f t="shared" si="10"/>
        <v>0.5499999999999996</v>
      </c>
      <c r="E52" s="14">
        <f>SUMPRODUCT(B52:D52,retornos!$B$28:$D$28)</f>
        <v>0.16969266945270747</v>
      </c>
      <c r="F52" s="14">
        <f t="shared" si="7"/>
        <v>2.5977536512684942E-2</v>
      </c>
      <c r="G52" s="14">
        <f t="shared" si="8"/>
        <v>2.6561005818748203E-2</v>
      </c>
      <c r="H52" s="14">
        <f t="shared" si="4"/>
        <v>0.16117548359687009</v>
      </c>
      <c r="I52" s="14">
        <f t="shared" si="5"/>
        <v>0.16297547612677254</v>
      </c>
      <c r="J52" s="14"/>
      <c r="K52" s="14"/>
      <c r="L52" s="14"/>
      <c r="M52" s="1"/>
      <c r="N52" s="13"/>
      <c r="O52" s="1"/>
      <c r="P52" s="1"/>
      <c r="Q52" s="1"/>
      <c r="R52" s="14"/>
    </row>
    <row r="53" spans="1:18" x14ac:dyDescent="0.25">
      <c r="A53" s="14" t="s">
        <v>987</v>
      </c>
      <c r="B53" s="14">
        <f t="shared" si="6"/>
        <v>0.378823529411765</v>
      </c>
      <c r="C53" s="14">
        <f t="shared" si="9"/>
        <v>8.1176470588235378E-2</v>
      </c>
      <c r="D53" s="14">
        <f t="shared" si="10"/>
        <v>0.53999999999999959</v>
      </c>
      <c r="E53" s="14">
        <f>SUMPRODUCT(B53:D53,retornos!$B$28:$D$28)</f>
        <v>0.17052071889460232</v>
      </c>
      <c r="F53" s="14">
        <f t="shared" si="7"/>
        <v>2.7119480989783454E-2</v>
      </c>
      <c r="G53" s="14">
        <f t="shared" si="8"/>
        <v>2.7754611512331443E-2</v>
      </c>
      <c r="H53" s="14">
        <f t="shared" si="4"/>
        <v>0.16467993499447178</v>
      </c>
      <c r="I53" s="14">
        <f t="shared" si="5"/>
        <v>0.16659715337403411</v>
      </c>
      <c r="J53" s="14"/>
      <c r="K53" s="14"/>
      <c r="L53" s="14"/>
      <c r="M53" s="1"/>
      <c r="N53" s="13"/>
      <c r="O53" s="1"/>
      <c r="P53" s="1"/>
      <c r="Q53" s="1"/>
      <c r="R53" s="14"/>
    </row>
    <row r="54" spans="1:18" x14ac:dyDescent="0.25">
      <c r="A54" s="14" t="s">
        <v>988</v>
      </c>
      <c r="B54" s="14">
        <f t="shared" si="6"/>
        <v>0.38705882352941212</v>
      </c>
      <c r="C54" s="14">
        <f t="shared" si="9"/>
        <v>8.294117647058831E-2</v>
      </c>
      <c r="D54" s="14">
        <f t="shared" si="10"/>
        <v>0.52999999999999958</v>
      </c>
      <c r="E54" s="14">
        <f>SUMPRODUCT(B54:D54,retornos!$B$28:$D$28)</f>
        <v>0.1713487683364972</v>
      </c>
      <c r="F54" s="14">
        <f t="shared" si="7"/>
        <v>2.8289964846060597E-2</v>
      </c>
      <c r="G54" s="14">
        <f t="shared" si="8"/>
        <v>2.8974450298081374E-2</v>
      </c>
      <c r="H54" s="14">
        <f t="shared" si="4"/>
        <v>0.16819620936888144</v>
      </c>
      <c r="I54" s="14">
        <f t="shared" si="5"/>
        <v>0.17021883062129575</v>
      </c>
      <c r="J54" s="14"/>
      <c r="K54" s="14"/>
      <c r="L54" s="14"/>
      <c r="M54" s="1"/>
      <c r="N54" s="13"/>
      <c r="O54" s="1"/>
      <c r="P54" s="1"/>
      <c r="Q54" s="1"/>
      <c r="R54" s="14"/>
    </row>
    <row r="55" spans="1:18" x14ac:dyDescent="0.25">
      <c r="A55" s="14" t="s">
        <v>989</v>
      </c>
      <c r="B55" s="14">
        <f t="shared" si="6"/>
        <v>0.39529411764705913</v>
      </c>
      <c r="C55" s="14">
        <f t="shared" si="9"/>
        <v>8.4705882352941256E-2</v>
      </c>
      <c r="D55" s="14">
        <f t="shared" si="10"/>
        <v>0.51999999999999957</v>
      </c>
      <c r="E55" s="14">
        <f>SUMPRODUCT(B55:D55,retornos!$B$28:$D$28)</f>
        <v>0.17217681777839206</v>
      </c>
      <c r="F55" s="14">
        <f t="shared" si="7"/>
        <v>2.9488988081516312E-2</v>
      </c>
      <c r="G55" s="14">
        <f t="shared" si="8"/>
        <v>3.0220522175997942E-2</v>
      </c>
      <c r="H55" s="14">
        <f t="shared" si="4"/>
        <v>0.17172358044693894</v>
      </c>
      <c r="I55" s="14">
        <f t="shared" si="5"/>
        <v>0.17384050786855731</v>
      </c>
      <c r="J55" s="14"/>
      <c r="K55" s="14"/>
      <c r="L55" s="14"/>
      <c r="M55" s="1"/>
      <c r="N55" s="13"/>
      <c r="O55" s="1"/>
      <c r="P55" s="1"/>
      <c r="Q55" s="1"/>
      <c r="R55" s="14"/>
    </row>
    <row r="56" spans="1:18" x14ac:dyDescent="0.25">
      <c r="A56" s="14" t="s">
        <v>990</v>
      </c>
      <c r="B56" s="14">
        <f t="shared" si="6"/>
        <v>0.40352941176470625</v>
      </c>
      <c r="C56" s="14">
        <f t="shared" si="9"/>
        <v>8.6470588235294202E-2</v>
      </c>
      <c r="D56" s="14">
        <f t="shared" si="10"/>
        <v>0.50999999999999956</v>
      </c>
      <c r="E56" s="14">
        <f>SUMPRODUCT(B56:D56,retornos!$B$28:$D$28)</f>
        <v>0.17300486722028691</v>
      </c>
      <c r="F56" s="14">
        <f t="shared" si="7"/>
        <v>3.0716550696150646E-2</v>
      </c>
      <c r="G56" s="14">
        <f t="shared" si="8"/>
        <v>3.1492827146081204E-2</v>
      </c>
      <c r="H56" s="14">
        <f t="shared" ref="H56:H70" si="11">SQRT(F56)</f>
        <v>0.17526137822164542</v>
      </c>
      <c r="I56" s="14">
        <f t="shared" si="5"/>
        <v>0.17746218511581899</v>
      </c>
      <c r="J56" s="14"/>
      <c r="K56" s="14"/>
      <c r="L56" s="14"/>
      <c r="M56" s="1"/>
      <c r="N56" s="13"/>
      <c r="O56" s="1"/>
      <c r="P56" s="1"/>
      <c r="Q56" s="1"/>
    </row>
    <row r="57" spans="1:18" x14ac:dyDescent="0.25">
      <c r="A57" s="14" t="s">
        <v>991</v>
      </c>
      <c r="B57" s="14">
        <f t="shared" si="6"/>
        <v>0.41176470588235325</v>
      </c>
      <c r="C57" s="14">
        <f t="shared" si="9"/>
        <v>8.8235294117647148E-2</v>
      </c>
      <c r="D57" s="14">
        <f t="shared" si="10"/>
        <v>0.49999999999999956</v>
      </c>
      <c r="E57" s="14">
        <f>SUMPRODUCT(B57:D57,retornos!$B$28:$D$28)</f>
        <v>0.17383291666218176</v>
      </c>
      <c r="F57" s="14">
        <f t="shared" si="7"/>
        <v>3.1972652689963563E-2</v>
      </c>
      <c r="G57" s="14">
        <f t="shared" si="8"/>
        <v>3.2791365208331105E-2</v>
      </c>
      <c r="H57" s="14">
        <f t="shared" si="11"/>
        <v>0.1788089838066409</v>
      </c>
      <c r="I57" s="14">
        <f t="shared" si="5"/>
        <v>0.18108386236308055</v>
      </c>
      <c r="J57" s="14"/>
      <c r="K57" s="14"/>
      <c r="L57" s="14"/>
      <c r="M57" s="1"/>
      <c r="N57" s="13"/>
      <c r="O57" s="1"/>
      <c r="P57" s="1"/>
      <c r="Q57" s="1"/>
    </row>
    <row r="58" spans="1:18" x14ac:dyDescent="0.25">
      <c r="A58" s="14" t="s">
        <v>992</v>
      </c>
      <c r="B58" s="14">
        <f t="shared" si="6"/>
        <v>0.42000000000000037</v>
      </c>
      <c r="C58" s="14">
        <f t="shared" si="9"/>
        <v>9.000000000000008E-2</v>
      </c>
      <c r="D58" s="14">
        <f t="shared" si="10"/>
        <v>0.48999999999999955</v>
      </c>
      <c r="E58" s="14">
        <f>SUMPRODUCT(B58:D58,retornos!$B$28:$D$28)</f>
        <v>0.17466096610407664</v>
      </c>
      <c r="F58" s="14">
        <f t="shared" si="7"/>
        <v>3.3257294062955099E-2</v>
      </c>
      <c r="G58" s="14">
        <f t="shared" si="8"/>
        <v>3.4116136362747691E-2</v>
      </c>
      <c r="H58" s="14">
        <f t="shared" si="11"/>
        <v>0.1823658248218539</v>
      </c>
      <c r="I58" s="14">
        <f t="shared" si="5"/>
        <v>0.1847055396103422</v>
      </c>
      <c r="J58" s="14"/>
      <c r="K58" s="14"/>
      <c r="L58" s="14"/>
      <c r="M58" s="1"/>
      <c r="N58" s="13"/>
      <c r="O58" s="1"/>
      <c r="P58" s="1"/>
      <c r="Q58" s="1"/>
    </row>
    <row r="59" spans="1:18" x14ac:dyDescent="0.25">
      <c r="A59" s="14" t="s">
        <v>993</v>
      </c>
      <c r="B59" s="14">
        <f t="shared" si="6"/>
        <v>0.42823529411764749</v>
      </c>
      <c r="C59" s="14">
        <f t="shared" si="9"/>
        <v>9.1764705882353026E-2</v>
      </c>
      <c r="D59" s="14">
        <f t="shared" si="10"/>
        <v>0.47999999999999954</v>
      </c>
      <c r="E59" s="14">
        <f>SUMPRODUCT(B59:D59,retornos!$B$28:$D$28)</f>
        <v>0.17548901554597152</v>
      </c>
      <c r="F59" s="14">
        <f t="shared" si="7"/>
        <v>3.4570474815125228E-2</v>
      </c>
      <c r="G59" s="14">
        <f t="shared" si="8"/>
        <v>3.5467140609330941E-2</v>
      </c>
      <c r="H59" s="14">
        <f t="shared" si="11"/>
        <v>0.18593137125059134</v>
      </c>
      <c r="I59" s="14">
        <f t="shared" si="5"/>
        <v>0.18832721685760384</v>
      </c>
      <c r="J59" s="14"/>
      <c r="K59" s="14"/>
      <c r="L59" s="14"/>
      <c r="M59" s="1"/>
      <c r="N59" s="13"/>
      <c r="O59" s="1"/>
      <c r="P59" s="1"/>
      <c r="Q59" s="1"/>
    </row>
    <row r="60" spans="1:18" x14ac:dyDescent="0.25">
      <c r="A60" s="14" t="s">
        <v>994</v>
      </c>
      <c r="B60" s="14">
        <f t="shared" si="6"/>
        <v>0.4364705882352945</v>
      </c>
      <c r="C60" s="14">
        <f t="shared" si="9"/>
        <v>9.3529411764705972E-2</v>
      </c>
      <c r="D60" s="14">
        <f t="shared" si="10"/>
        <v>0.46999999999999953</v>
      </c>
      <c r="E60" s="14">
        <f>SUMPRODUCT(B60:D60,retornos!$B$28:$D$28)</f>
        <v>0.17631706498786637</v>
      </c>
      <c r="F60" s="14">
        <f t="shared" si="7"/>
        <v>3.5912194946473942E-2</v>
      </c>
      <c r="G60" s="14">
        <f t="shared" si="8"/>
        <v>3.6844377948080834E-2</v>
      </c>
      <c r="H60" s="14">
        <f t="shared" si="11"/>
        <v>0.1895051317154075</v>
      </c>
      <c r="I60" s="14">
        <f t="shared" si="5"/>
        <v>0.1919488941048654</v>
      </c>
      <c r="J60" s="14"/>
      <c r="K60" s="14"/>
      <c r="L60" s="14"/>
      <c r="M60" s="1"/>
      <c r="N60" s="13"/>
      <c r="O60" s="1"/>
      <c r="P60" s="1"/>
      <c r="Q60" s="1"/>
    </row>
    <row r="61" spans="1:18" x14ac:dyDescent="0.25">
      <c r="A61" s="14" t="s">
        <v>995</v>
      </c>
      <c r="B61" s="14">
        <f t="shared" si="6"/>
        <v>0.44470588235294151</v>
      </c>
      <c r="C61" s="14">
        <f t="shared" si="9"/>
        <v>9.5294117647058918E-2</v>
      </c>
      <c r="D61" s="14">
        <f t="shared" si="10"/>
        <v>0.45999999999999952</v>
      </c>
      <c r="E61" s="14">
        <f>SUMPRODUCT(B61:D61,retornos!$B$28:$D$28)</f>
        <v>0.17714511442976122</v>
      </c>
      <c r="F61" s="14">
        <f t="shared" si="7"/>
        <v>3.7282454457001263E-2</v>
      </c>
      <c r="G61" s="14">
        <f t="shared" si="8"/>
        <v>3.8247848378997397E-2</v>
      </c>
      <c r="H61" s="14">
        <f t="shared" si="11"/>
        <v>0.19308665012631315</v>
      </c>
      <c r="I61" s="14">
        <f t="shared" si="5"/>
        <v>0.19557057135212699</v>
      </c>
      <c r="J61" s="14"/>
      <c r="K61" s="14"/>
      <c r="L61" s="14"/>
      <c r="M61" s="1"/>
      <c r="N61" s="13"/>
      <c r="O61" s="1"/>
      <c r="P61" s="1"/>
      <c r="Q61" s="1"/>
    </row>
    <row r="62" spans="1:18" x14ac:dyDescent="0.25">
      <c r="A62" s="14" t="s">
        <v>996</v>
      </c>
      <c r="B62" s="14">
        <f t="shared" si="6"/>
        <v>0.45294117647058862</v>
      </c>
      <c r="C62" s="14">
        <f t="shared" si="9"/>
        <v>9.7058823529411864E-2</v>
      </c>
      <c r="D62" s="14">
        <f t="shared" si="10"/>
        <v>0.44999999999999951</v>
      </c>
      <c r="E62" s="14">
        <f>SUMPRODUCT(B62:D62,retornos!$B$28:$D$28)</f>
        <v>0.17797316387165607</v>
      </c>
      <c r="F62" s="14">
        <f t="shared" si="7"/>
        <v>3.868125334670719E-2</v>
      </c>
      <c r="G62" s="14">
        <f t="shared" si="8"/>
        <v>3.9677551902080645E-2</v>
      </c>
      <c r="H62" s="14">
        <f t="shared" si="11"/>
        <v>0.19667550266036488</v>
      </c>
      <c r="I62" s="14">
        <f t="shared" si="5"/>
        <v>0.19919224859938864</v>
      </c>
      <c r="J62" s="14"/>
      <c r="K62" s="14"/>
      <c r="L62" s="14"/>
      <c r="M62" s="1"/>
      <c r="N62" s="13"/>
      <c r="O62" s="1"/>
      <c r="P62" s="1"/>
      <c r="Q62" s="1"/>
    </row>
    <row r="63" spans="1:18" x14ac:dyDescent="0.25">
      <c r="A63" s="14" t="s">
        <v>997</v>
      </c>
      <c r="B63" s="14">
        <f t="shared" si="6"/>
        <v>0.46117647058823574</v>
      </c>
      <c r="C63" s="14">
        <f t="shared" si="9"/>
        <v>9.8823529411764796E-2</v>
      </c>
      <c r="D63" s="14">
        <f t="shared" si="10"/>
        <v>0.4399999999999995</v>
      </c>
      <c r="E63" s="14">
        <f>SUMPRODUCT(B63:D63,retornos!$B$28:$D$28)</f>
        <v>0.17880121331355095</v>
      </c>
      <c r="F63" s="14">
        <f t="shared" si="7"/>
        <v>4.0108591615591722E-2</v>
      </c>
      <c r="G63" s="14">
        <f t="shared" si="8"/>
        <v>4.1133488517330549E-2</v>
      </c>
      <c r="H63" s="14">
        <f t="shared" si="11"/>
        <v>0.20027129503648725</v>
      </c>
      <c r="I63" s="14">
        <f t="shared" si="5"/>
        <v>0.20281392584665026</v>
      </c>
      <c r="J63" s="14"/>
      <c r="K63" s="14"/>
      <c r="L63" s="14"/>
      <c r="M63" s="1"/>
      <c r="N63" s="13"/>
      <c r="O63" s="1"/>
      <c r="P63" s="1"/>
      <c r="Q63" s="1"/>
    </row>
    <row r="64" spans="1:18" x14ac:dyDescent="0.25">
      <c r="A64" s="14" t="s">
        <v>998</v>
      </c>
      <c r="B64" s="14">
        <f t="shared" si="6"/>
        <v>0.46941176470588275</v>
      </c>
      <c r="C64" s="14">
        <f t="shared" si="9"/>
        <v>0.10058823529411774</v>
      </c>
      <c r="D64" s="14">
        <f t="shared" si="10"/>
        <v>0.42999999999999949</v>
      </c>
      <c r="E64" s="14">
        <f>SUMPRODUCT(B64:D64,retornos!$B$28:$D$28)</f>
        <v>0.1796292627554458</v>
      </c>
      <c r="F64" s="14">
        <f t="shared" si="7"/>
        <v>4.1564469263654841E-2</v>
      </c>
      <c r="G64" s="14">
        <f t="shared" si="8"/>
        <v>4.2615658224747104E-2</v>
      </c>
      <c r="H64" s="14">
        <f t="shared" si="11"/>
        <v>0.20387366005360977</v>
      </c>
      <c r="I64" s="14">
        <f t="shared" si="5"/>
        <v>0.20643560309391185</v>
      </c>
      <c r="J64" s="14"/>
      <c r="K64" s="14"/>
      <c r="L64" s="14"/>
      <c r="M64" s="1"/>
      <c r="N64" s="13"/>
      <c r="O64" s="1"/>
      <c r="P64" s="1"/>
      <c r="Q64" s="1"/>
    </row>
    <row r="65" spans="1:17" x14ac:dyDescent="0.25">
      <c r="A65" s="14" t="s">
        <v>999</v>
      </c>
      <c r="B65" s="14">
        <f t="shared" si="6"/>
        <v>0.47764705882352987</v>
      </c>
      <c r="C65" s="14">
        <f t="shared" si="9"/>
        <v>0.10235294117647069</v>
      </c>
      <c r="D65" s="14">
        <f t="shared" si="10"/>
        <v>0.41999999999999948</v>
      </c>
      <c r="E65" s="14">
        <f>SUMPRODUCT(B65:D65,retornos!$B$28:$D$28)</f>
        <v>0.18045731219734068</v>
      </c>
      <c r="F65" s="14">
        <f t="shared" si="7"/>
        <v>4.3048886290896572E-2</v>
      </c>
      <c r="G65" s="14">
        <f t="shared" si="8"/>
        <v>4.4124061024330349E-2</v>
      </c>
      <c r="H65" s="14">
        <f t="shared" si="11"/>
        <v>0.20748225536391438</v>
      </c>
      <c r="I65" s="14">
        <f t="shared" si="5"/>
        <v>0.21005728034117349</v>
      </c>
      <c r="J65" s="14"/>
      <c r="K65" s="14"/>
      <c r="L65" s="14"/>
      <c r="M65" s="1"/>
      <c r="N65" s="13"/>
      <c r="O65" s="1"/>
      <c r="P65" s="1"/>
      <c r="Q65" s="1"/>
    </row>
    <row r="66" spans="1:17" x14ac:dyDescent="0.25">
      <c r="A66" s="14" t="s">
        <v>1000</v>
      </c>
      <c r="B66" s="14">
        <f t="shared" si="6"/>
        <v>0.48588235294117688</v>
      </c>
      <c r="C66" s="14">
        <f t="shared" si="9"/>
        <v>0.10411764705882363</v>
      </c>
      <c r="D66" s="14">
        <f t="shared" si="10"/>
        <v>0.40999999999999948</v>
      </c>
      <c r="E66" s="14">
        <f>SUMPRODUCT(B66:D66,retornos!$B$28:$D$28)</f>
        <v>0.18128536163923553</v>
      </c>
      <c r="F66" s="14">
        <f t="shared" si="7"/>
        <v>4.4561842697316889E-2</v>
      </c>
      <c r="G66" s="14">
        <f t="shared" si="8"/>
        <v>4.5658696916080238E-2</v>
      </c>
      <c r="H66" s="14">
        <f t="shared" si="11"/>
        <v>0.21109676145624995</v>
      </c>
      <c r="I66" s="14">
        <f t="shared" si="5"/>
        <v>0.21367895758843508</v>
      </c>
      <c r="J66" s="14"/>
      <c r="K66" s="14"/>
      <c r="L66" s="14"/>
      <c r="M66" s="1"/>
      <c r="N66" s="13"/>
      <c r="O66" s="1"/>
      <c r="P66" s="1"/>
      <c r="Q66" s="1"/>
    </row>
    <row r="67" spans="1:17" x14ac:dyDescent="0.25">
      <c r="A67" s="14" t="s">
        <v>1001</v>
      </c>
      <c r="B67" s="14">
        <f t="shared" si="6"/>
        <v>0.49411764705882399</v>
      </c>
      <c r="C67" s="14">
        <f t="shared" si="9"/>
        <v>0.10588235294117657</v>
      </c>
      <c r="D67" s="14">
        <f t="shared" si="10"/>
        <v>0.39999999999999947</v>
      </c>
      <c r="E67" s="14">
        <f>SUMPRODUCT(B67:D67,retornos!$B$28:$D$28)</f>
        <v>0.18211341108113041</v>
      </c>
      <c r="F67" s="14">
        <f t="shared" si="7"/>
        <v>4.6103338482915826E-2</v>
      </c>
      <c r="G67" s="14">
        <f t="shared" si="8"/>
        <v>4.7219565899996811E-2</v>
      </c>
      <c r="H67" s="14">
        <f t="shared" si="11"/>
        <v>0.21471687982763682</v>
      </c>
      <c r="I67" s="14">
        <f t="shared" si="5"/>
        <v>0.21730063483569673</v>
      </c>
      <c r="J67" s="14"/>
      <c r="K67" s="14"/>
      <c r="L67" s="14"/>
      <c r="M67" s="1"/>
      <c r="N67" s="13"/>
      <c r="O67" s="1"/>
      <c r="P67" s="1"/>
      <c r="Q67" s="1"/>
    </row>
    <row r="68" spans="1:17" x14ac:dyDescent="0.25">
      <c r="A68" s="14" t="s">
        <v>1002</v>
      </c>
      <c r="B68" s="14">
        <f t="shared" si="6"/>
        <v>0.502352941176471</v>
      </c>
      <c r="C68" s="14">
        <f t="shared" si="9"/>
        <v>0.10764705882352951</v>
      </c>
      <c r="D68" s="14">
        <f t="shared" si="10"/>
        <v>0.38999999999999946</v>
      </c>
      <c r="E68" s="14">
        <f>SUMPRODUCT(B68:D68,retornos!$B$28:$D$28)</f>
        <v>0.18294146052302523</v>
      </c>
      <c r="F68" s="14">
        <f t="shared" si="7"/>
        <v>4.7673373647693328E-2</v>
      </c>
      <c r="G68" s="14">
        <f t="shared" si="8"/>
        <v>4.880666797608002E-2</v>
      </c>
      <c r="H68" s="14">
        <f t="shared" si="11"/>
        <v>0.21834233132329911</v>
      </c>
      <c r="I68" s="14">
        <f t="shared" si="5"/>
        <v>0.22092231208295829</v>
      </c>
      <c r="J68" s="14"/>
      <c r="K68" s="14"/>
      <c r="L68" s="14"/>
      <c r="M68" s="1"/>
      <c r="N68" s="13"/>
      <c r="O68" s="1"/>
      <c r="P68" s="1"/>
      <c r="Q68" s="1"/>
    </row>
    <row r="69" spans="1:17" x14ac:dyDescent="0.25">
      <c r="A69" s="14" t="s">
        <v>1003</v>
      </c>
      <c r="B69" s="14">
        <f t="shared" si="6"/>
        <v>0.51058823529411812</v>
      </c>
      <c r="C69" s="14">
        <f t="shared" si="9"/>
        <v>0.10941176470588246</v>
      </c>
      <c r="D69" s="14">
        <f t="shared" si="10"/>
        <v>0.37999999999999945</v>
      </c>
      <c r="E69" s="14">
        <f>SUMPRODUCT(B69:D69,retornos!$B$28:$D$28)</f>
        <v>0.18376950996492014</v>
      </c>
      <c r="F69" s="14">
        <f t="shared" si="7"/>
        <v>4.927194819164947E-2</v>
      </c>
      <c r="G69" s="14">
        <f t="shared" si="8"/>
        <v>5.0420003144329928E-2</v>
      </c>
      <c r="H69" s="14">
        <f t="shared" si="11"/>
        <v>0.22197285462787891</v>
      </c>
      <c r="I69" s="14">
        <f t="shared" si="5"/>
        <v>0.22454398933021993</v>
      </c>
      <c r="J69" s="14"/>
      <c r="K69" s="14"/>
      <c r="L69" s="14"/>
      <c r="M69" s="1"/>
      <c r="N69" s="13"/>
      <c r="O69" s="1"/>
      <c r="P69" s="1"/>
      <c r="Q69" s="1"/>
    </row>
    <row r="70" spans="1:17" x14ac:dyDescent="0.25">
      <c r="A70" s="14" t="s">
        <v>1004</v>
      </c>
      <c r="B70" s="14">
        <f t="shared" si="6"/>
        <v>0.51882352941176513</v>
      </c>
      <c r="C70" s="14">
        <f t="shared" si="9"/>
        <v>0.1111764705882354</v>
      </c>
      <c r="D70" s="14">
        <f t="shared" si="10"/>
        <v>0.36999999999999944</v>
      </c>
      <c r="E70" s="14">
        <f>SUMPRODUCT(B70:D70,retornos!$B$28:$D$28)</f>
        <v>0.18459755940681496</v>
      </c>
      <c r="F70" s="14">
        <f t="shared" si="7"/>
        <v>5.089906211478417E-2</v>
      </c>
      <c r="G70" s="14">
        <f t="shared" si="8"/>
        <v>5.2059571404746464E-2</v>
      </c>
      <c r="H70" s="14">
        <f t="shared" si="11"/>
        <v>0.22560820489242889</v>
      </c>
      <c r="I70" s="14">
        <f t="shared" si="5"/>
        <v>0.22816566657748152</v>
      </c>
      <c r="J70" s="14"/>
      <c r="K70" s="14"/>
      <c r="L70" s="14"/>
      <c r="M70" s="1"/>
      <c r="N70" s="13"/>
      <c r="O70" s="1"/>
      <c r="P70" s="1"/>
      <c r="Q70" s="1"/>
    </row>
    <row r="71" spans="1:17" x14ac:dyDescent="0.25">
      <c r="A71" s="14" t="s">
        <v>1005</v>
      </c>
      <c r="B71" s="14">
        <f t="shared" si="6"/>
        <v>0.52705882352941225</v>
      </c>
      <c r="C71" s="14">
        <f t="shared" si="9"/>
        <v>0.11294117647058834</v>
      </c>
      <c r="D71" s="14">
        <f t="shared" si="10"/>
        <v>0.35999999999999943</v>
      </c>
      <c r="E71" s="14">
        <f>SUMPRODUCT(B71:D71,retornos!$B$28:$D$28)</f>
        <v>0.18542560884870984</v>
      </c>
      <c r="F71" s="14">
        <f t="shared" ref="F71:F95" si="12">B71^2*variância_a1+C71^2*variância_a2+D71^2*variância_a3+2*B71*C71*cov_a1_a2+2*B71*D71*cov_a1_a3+2*C71*D71*cov_a2_a3</f>
        <v>5.2554715417097504E-2</v>
      </c>
      <c r="G71" s="14">
        <f t="shared" ref="G71:G95" si="13">B71^2*variância_a1+C71^2*variância_a2+2*B71*C71*cov_a1_a2</f>
        <v>5.3725372757329699E-2</v>
      </c>
      <c r="H71" s="14">
        <f t="shared" ref="H71:H90" si="14">SQRT(F71)</f>
        <v>0.22924815248349878</v>
      </c>
      <c r="I71" s="14">
        <f t="shared" si="5"/>
        <v>0.23178734382474317</v>
      </c>
      <c r="J71" s="14"/>
      <c r="K71" s="14"/>
      <c r="L71" s="14"/>
      <c r="M71" s="1"/>
      <c r="N71" s="13"/>
      <c r="O71" s="1"/>
      <c r="P71" s="1"/>
      <c r="Q71" s="1"/>
    </row>
    <row r="72" spans="1:17" x14ac:dyDescent="0.25">
      <c r="A72" s="14" t="s">
        <v>1006</v>
      </c>
      <c r="B72" s="14">
        <f t="shared" si="6"/>
        <v>0.53529411764705936</v>
      </c>
      <c r="C72" s="14">
        <f t="shared" ref="C72:C103" si="15">(1-D72)*$W$7</f>
        <v>0.11470588235294128</v>
      </c>
      <c r="D72" s="14">
        <f t="shared" ref="D72:D95" si="16">D71-$W$6</f>
        <v>0.34999999999999942</v>
      </c>
      <c r="E72" s="14">
        <f>SUMPRODUCT(B72:D72,retornos!$B$28:$D$28)</f>
        <v>0.18625365829060472</v>
      </c>
      <c r="F72" s="14">
        <f t="shared" si="12"/>
        <v>5.4238908098589431E-2</v>
      </c>
      <c r="G72" s="14">
        <f t="shared" si="13"/>
        <v>5.5417407202079591E-2</v>
      </c>
      <c r="H72" s="14">
        <f t="shared" si="14"/>
        <v>0.23289248184213554</v>
      </c>
      <c r="I72" s="14">
        <f t="shared" ref="I72:I95" si="17">SQRT(G72)</f>
        <v>0.23540902107200479</v>
      </c>
      <c r="J72" s="14"/>
      <c r="K72" s="14"/>
      <c r="L72" s="14"/>
      <c r="M72" s="1"/>
      <c r="N72" s="13"/>
      <c r="O72" s="1"/>
      <c r="P72" s="1"/>
      <c r="Q72" s="1"/>
    </row>
    <row r="73" spans="1:17" x14ac:dyDescent="0.25">
      <c r="A73" s="14" t="s">
        <v>1007</v>
      </c>
      <c r="B73" s="14">
        <f t="shared" ref="B73:B95" si="18">1-SUM(C73:D73)</f>
        <v>0.54352941176470637</v>
      </c>
      <c r="C73" s="14">
        <f t="shared" si="15"/>
        <v>0.11647058823529423</v>
      </c>
      <c r="D73" s="14">
        <f t="shared" si="16"/>
        <v>0.33999999999999941</v>
      </c>
      <c r="E73" s="14">
        <f>SUMPRODUCT(B73:D73,retornos!$B$28:$D$28)</f>
        <v>0.18708170773249957</v>
      </c>
      <c r="F73" s="14">
        <f t="shared" si="12"/>
        <v>5.5951640159259942E-2</v>
      </c>
      <c r="G73" s="14">
        <f t="shared" si="13"/>
        <v>5.7135674738996126E-2</v>
      </c>
      <c r="H73" s="14">
        <f t="shared" si="14"/>
        <v>0.23654099044195268</v>
      </c>
      <c r="I73" s="14">
        <f t="shared" si="17"/>
        <v>0.23903069831926635</v>
      </c>
      <c r="J73" s="14"/>
      <c r="K73" s="14"/>
      <c r="L73" s="14"/>
      <c r="M73" s="1"/>
      <c r="N73" s="13"/>
      <c r="O73" s="1"/>
      <c r="P73" s="1"/>
      <c r="Q73" s="1"/>
    </row>
    <row r="74" spans="1:17" x14ac:dyDescent="0.25">
      <c r="A74" s="14" t="s">
        <v>1008</v>
      </c>
      <c r="B74" s="14">
        <f t="shared" si="18"/>
        <v>0.55176470588235338</v>
      </c>
      <c r="C74" s="14">
        <f t="shared" si="15"/>
        <v>0.11823529411764717</v>
      </c>
      <c r="D74" s="14">
        <f t="shared" si="16"/>
        <v>0.3299999999999994</v>
      </c>
      <c r="E74" s="14">
        <f>SUMPRODUCT(B74:D74,retornos!$B$28:$D$28)</f>
        <v>0.18790975717439443</v>
      </c>
      <c r="F74" s="14">
        <f t="shared" si="12"/>
        <v>5.7692911599109054E-2</v>
      </c>
      <c r="G74" s="14">
        <f t="shared" si="13"/>
        <v>5.8880175368079331E-2</v>
      </c>
      <c r="H74" s="14">
        <f t="shared" si="14"/>
        <v>0.24019348783659614</v>
      </c>
      <c r="I74" s="14">
        <f t="shared" si="17"/>
        <v>0.24265237556652794</v>
      </c>
      <c r="J74" s="14"/>
      <c r="K74" s="14"/>
      <c r="L74" s="14"/>
      <c r="M74" s="1"/>
      <c r="N74" s="13"/>
      <c r="O74" s="1"/>
      <c r="P74" s="1"/>
      <c r="Q74" s="1"/>
    </row>
    <row r="75" spans="1:17" x14ac:dyDescent="0.25">
      <c r="A75" s="14" t="s">
        <v>1009</v>
      </c>
      <c r="B75" s="14">
        <f t="shared" si="18"/>
        <v>0.5600000000000005</v>
      </c>
      <c r="C75" s="14">
        <f t="shared" si="15"/>
        <v>0.12000000000000012</v>
      </c>
      <c r="D75" s="14">
        <f t="shared" si="16"/>
        <v>0.3199999999999994</v>
      </c>
      <c r="E75" s="14">
        <f>SUMPRODUCT(B75:D75,retornos!$B$28:$D$28)</f>
        <v>0.18873780661628931</v>
      </c>
      <c r="F75" s="14">
        <f t="shared" si="12"/>
        <v>5.9462722418136785E-2</v>
      </c>
      <c r="G75" s="14">
        <f t="shared" si="13"/>
        <v>6.0650909089329227E-2</v>
      </c>
      <c r="H75" s="14">
        <f t="shared" si="14"/>
        <v>0.2438497947879735</v>
      </c>
      <c r="I75" s="14">
        <f t="shared" si="17"/>
        <v>0.24627405281378958</v>
      </c>
      <c r="J75" s="14"/>
      <c r="K75" s="14"/>
      <c r="L75" s="14"/>
      <c r="M75" s="1"/>
      <c r="N75" s="13"/>
      <c r="O75" s="1"/>
      <c r="P75" s="1"/>
      <c r="Q75" s="1"/>
    </row>
    <row r="76" spans="1:17" x14ac:dyDescent="0.25">
      <c r="A76" s="14" t="s">
        <v>1010</v>
      </c>
      <c r="B76" s="14">
        <f t="shared" si="18"/>
        <v>0.56823529411764762</v>
      </c>
      <c r="C76" s="14">
        <f t="shared" si="15"/>
        <v>0.12176470588235305</v>
      </c>
      <c r="D76" s="14">
        <f t="shared" si="16"/>
        <v>0.30999999999999939</v>
      </c>
      <c r="E76" s="14">
        <f>SUMPRODUCT(B76:D76,retornos!$B$28:$D$28)</f>
        <v>0.18956585605818416</v>
      </c>
      <c r="F76" s="14">
        <f t="shared" si="12"/>
        <v>6.1261072616343136E-2</v>
      </c>
      <c r="G76" s="14">
        <f t="shared" si="13"/>
        <v>6.2447875902745788E-2</v>
      </c>
      <c r="H76" s="14">
        <f t="shared" si="14"/>
        <v>0.24750974246753021</v>
      </c>
      <c r="I76" s="14">
        <f t="shared" si="17"/>
        <v>0.24989573006105123</v>
      </c>
      <c r="J76" s="14"/>
      <c r="K76" s="14"/>
      <c r="L76" s="14"/>
      <c r="M76" s="1"/>
      <c r="N76" s="13"/>
      <c r="O76" s="1"/>
      <c r="P76" s="1"/>
      <c r="Q76" s="1"/>
    </row>
    <row r="77" spans="1:17" x14ac:dyDescent="0.25">
      <c r="A77" s="14" t="s">
        <v>1011</v>
      </c>
      <c r="B77" s="14">
        <f t="shared" si="18"/>
        <v>0.57647058823529462</v>
      </c>
      <c r="C77" s="14">
        <f t="shared" si="15"/>
        <v>0.123529411764706</v>
      </c>
      <c r="D77" s="14">
        <f t="shared" si="16"/>
        <v>0.29999999999999938</v>
      </c>
      <c r="E77" s="14">
        <f>SUMPRODUCT(B77:D77,retornos!$B$28:$D$28)</f>
        <v>0.19039390550007901</v>
      </c>
      <c r="F77" s="14">
        <f t="shared" si="12"/>
        <v>6.3087962193728017E-2</v>
      </c>
      <c r="G77" s="14">
        <f t="shared" si="13"/>
        <v>6.4271075808328984E-2</v>
      </c>
      <c r="H77" s="14">
        <f t="shared" si="14"/>
        <v>0.2511731717236696</v>
      </c>
      <c r="I77" s="14">
        <f t="shared" si="17"/>
        <v>0.25351740730831285</v>
      </c>
      <c r="J77" s="14"/>
      <c r="K77" s="14"/>
      <c r="L77" s="14"/>
      <c r="M77" s="1"/>
      <c r="N77" s="13"/>
      <c r="O77" s="1"/>
      <c r="P77" s="1"/>
      <c r="Q77" s="1"/>
    </row>
    <row r="78" spans="1:17" x14ac:dyDescent="0.25">
      <c r="A78" s="14" t="s">
        <v>1012</v>
      </c>
      <c r="B78" s="14">
        <f t="shared" si="18"/>
        <v>0.58470588235294163</v>
      </c>
      <c r="C78" s="14">
        <f t="shared" si="15"/>
        <v>0.12529411764705894</v>
      </c>
      <c r="D78" s="14">
        <f t="shared" si="16"/>
        <v>0.28999999999999937</v>
      </c>
      <c r="E78" s="14">
        <f>SUMPRODUCT(B78:D78,retornos!$B$28:$D$28)</f>
        <v>0.19122195494197383</v>
      </c>
      <c r="F78" s="14">
        <f t="shared" si="12"/>
        <v>6.4943391150291532E-2</v>
      </c>
      <c r="G78" s="14">
        <f t="shared" si="13"/>
        <v>6.6120508806078851E-2</v>
      </c>
      <c r="H78" s="14">
        <f t="shared" si="14"/>
        <v>0.25483993240913311</v>
      </c>
      <c r="I78" s="14">
        <f t="shared" si="17"/>
        <v>0.25713908455557444</v>
      </c>
      <c r="J78" s="14"/>
      <c r="K78" s="14"/>
      <c r="L78" s="14"/>
      <c r="M78" s="1"/>
      <c r="N78" s="13"/>
      <c r="O78" s="1"/>
      <c r="P78" s="1"/>
      <c r="Q78" s="1"/>
    </row>
    <row r="79" spans="1:17" x14ac:dyDescent="0.25">
      <c r="A79" s="14" t="s">
        <v>1013</v>
      </c>
      <c r="B79" s="14">
        <f t="shared" si="18"/>
        <v>0.59294117647058875</v>
      </c>
      <c r="C79" s="14">
        <f t="shared" si="15"/>
        <v>0.12705882352941189</v>
      </c>
      <c r="D79" s="14">
        <f t="shared" si="16"/>
        <v>0.27999999999999936</v>
      </c>
      <c r="E79" s="14">
        <f>SUMPRODUCT(B79:D79,retornos!$B$28:$D$28)</f>
        <v>0.19205000438386874</v>
      </c>
      <c r="F79" s="14">
        <f t="shared" si="12"/>
        <v>6.6827359486033661E-2</v>
      </c>
      <c r="G79" s="14">
        <f t="shared" si="13"/>
        <v>6.7996174895995395E-2</v>
      </c>
      <c r="H79" s="14">
        <f t="shared" si="14"/>
        <v>0.2585098827627943</v>
      </c>
      <c r="I79" s="14">
        <f t="shared" si="17"/>
        <v>0.26076076180283603</v>
      </c>
      <c r="J79" s="14"/>
      <c r="K79" s="14"/>
      <c r="L79" s="14"/>
      <c r="M79" s="1"/>
      <c r="N79" s="13"/>
      <c r="O79" s="1"/>
      <c r="P79" s="1"/>
      <c r="Q79" s="1"/>
    </row>
    <row r="80" spans="1:17" x14ac:dyDescent="0.25">
      <c r="A80" s="14" t="s">
        <v>1014</v>
      </c>
      <c r="B80" s="14">
        <f t="shared" si="18"/>
        <v>0.60117647058823587</v>
      </c>
      <c r="C80" s="14">
        <f t="shared" si="15"/>
        <v>0.12882352941176484</v>
      </c>
      <c r="D80" s="14">
        <f t="shared" si="16"/>
        <v>0.26999999999999935</v>
      </c>
      <c r="E80" s="14">
        <f>SUMPRODUCT(B80:D80,retornos!$B$28:$D$28)</f>
        <v>0.19287805382576362</v>
      </c>
      <c r="F80" s="14">
        <f t="shared" si="12"/>
        <v>6.8739867200954416E-2</v>
      </c>
      <c r="G80" s="14">
        <f t="shared" si="13"/>
        <v>6.9898074078078617E-2</v>
      </c>
      <c r="H80" s="14">
        <f t="shared" si="14"/>
        <v>0.26218288884088986</v>
      </c>
      <c r="I80" s="14">
        <f t="shared" si="17"/>
        <v>0.26438243905009767</v>
      </c>
      <c r="J80" s="14"/>
      <c r="K80" s="14"/>
      <c r="L80" s="14"/>
      <c r="M80" s="1"/>
      <c r="N80" s="13"/>
      <c r="O80" s="1"/>
      <c r="P80" s="1"/>
      <c r="Q80" s="1"/>
    </row>
    <row r="81" spans="1:17" x14ac:dyDescent="0.25">
      <c r="A81" s="14" t="s">
        <v>1015</v>
      </c>
      <c r="B81" s="14">
        <f t="shared" si="18"/>
        <v>0.60941176470588287</v>
      </c>
      <c r="C81" s="14">
        <f t="shared" si="15"/>
        <v>0.13058823529411778</v>
      </c>
      <c r="D81" s="14">
        <f t="shared" si="16"/>
        <v>0.25999999999999934</v>
      </c>
      <c r="E81" s="14">
        <f>SUMPRODUCT(B81:D81,retornos!$B$28:$D$28)</f>
        <v>0.19370610326765847</v>
      </c>
      <c r="F81" s="14">
        <f t="shared" si="12"/>
        <v>7.0680914295053687E-2</v>
      </c>
      <c r="G81" s="14">
        <f t="shared" si="13"/>
        <v>7.1826206352328462E-2</v>
      </c>
      <c r="H81" s="14">
        <f t="shared" si="14"/>
        <v>0.26585882399321203</v>
      </c>
      <c r="I81" s="14">
        <f t="shared" si="17"/>
        <v>0.26800411629735926</v>
      </c>
      <c r="J81" s="14"/>
      <c r="K81" s="14"/>
      <c r="L81" s="14"/>
      <c r="M81" s="1"/>
      <c r="N81" s="13"/>
      <c r="O81" s="1"/>
      <c r="P81" s="1"/>
      <c r="Q81" s="1"/>
    </row>
    <row r="82" spans="1:17" x14ac:dyDescent="0.25">
      <c r="A82" s="14" t="s">
        <v>1016</v>
      </c>
      <c r="B82" s="14">
        <f t="shared" si="18"/>
        <v>0.61764705882352999</v>
      </c>
      <c r="C82" s="14">
        <f t="shared" si="15"/>
        <v>0.1323529411764707</v>
      </c>
      <c r="D82" s="14">
        <f t="shared" si="16"/>
        <v>0.24999999999999933</v>
      </c>
      <c r="E82" s="14">
        <f>SUMPRODUCT(B82:D82,retornos!$B$28:$D$28)</f>
        <v>0.19453415270955332</v>
      </c>
      <c r="F82" s="14">
        <f t="shared" si="12"/>
        <v>7.2650500768331627E-2</v>
      </c>
      <c r="G82" s="14">
        <f t="shared" si="13"/>
        <v>7.3780571718745011E-2</v>
      </c>
      <c r="H82" s="14">
        <f t="shared" si="14"/>
        <v>0.26953756838023829</v>
      </c>
      <c r="I82" s="14">
        <f t="shared" si="17"/>
        <v>0.27162579354462091</v>
      </c>
      <c r="J82" s="14"/>
      <c r="K82" s="14"/>
      <c r="L82" s="14"/>
      <c r="M82" s="1"/>
      <c r="N82" s="13"/>
      <c r="O82" s="1"/>
      <c r="P82" s="1"/>
      <c r="Q82" s="1"/>
    </row>
    <row r="83" spans="1:17" x14ac:dyDescent="0.25">
      <c r="A83" s="14" t="s">
        <v>1017</v>
      </c>
      <c r="B83" s="14">
        <f t="shared" si="18"/>
        <v>0.625882352941177</v>
      </c>
      <c r="C83" s="14">
        <f t="shared" si="15"/>
        <v>0.13411764705882365</v>
      </c>
      <c r="D83" s="14">
        <f t="shared" si="16"/>
        <v>0.23999999999999932</v>
      </c>
      <c r="E83" s="14">
        <f>SUMPRODUCT(B83:D83,retornos!$B$28:$D$28)</f>
        <v>0.1953622021514482</v>
      </c>
      <c r="F83" s="14">
        <f t="shared" si="12"/>
        <v>7.4648626620788111E-2</v>
      </c>
      <c r="G83" s="14">
        <f t="shared" si="13"/>
        <v>7.5761170177328196E-2</v>
      </c>
      <c r="H83" s="14">
        <f t="shared" si="14"/>
        <v>0.27321900852756953</v>
      </c>
      <c r="I83" s="14">
        <f t="shared" si="17"/>
        <v>0.2752474707918825</v>
      </c>
      <c r="J83" s="14"/>
      <c r="K83" s="14"/>
      <c r="L83" s="14"/>
      <c r="M83" s="1"/>
      <c r="N83" s="13"/>
      <c r="O83" s="1"/>
      <c r="P83" s="1"/>
      <c r="Q83" s="1"/>
    </row>
    <row r="84" spans="1:17" x14ac:dyDescent="0.25">
      <c r="A84" s="14" t="s">
        <v>1018</v>
      </c>
      <c r="B84" s="14">
        <f t="shared" si="18"/>
        <v>0.63411764705882412</v>
      </c>
      <c r="C84" s="14">
        <f t="shared" si="15"/>
        <v>0.13588235294117659</v>
      </c>
      <c r="D84" s="14">
        <f t="shared" si="16"/>
        <v>0.22999999999999932</v>
      </c>
      <c r="E84" s="14">
        <f>SUMPRODUCT(B84:D84,retornos!$B$28:$D$28)</f>
        <v>0.19619025159334308</v>
      </c>
      <c r="F84" s="14">
        <f t="shared" si="12"/>
        <v>7.6675291852423264E-2</v>
      </c>
      <c r="G84" s="14">
        <f t="shared" si="13"/>
        <v>7.7768001728078073E-2</v>
      </c>
      <c r="H84" s="14">
        <f t="shared" si="14"/>
        <v>0.27690303691441026</v>
      </c>
      <c r="I84" s="14">
        <f t="shared" si="17"/>
        <v>0.27886914803914409</v>
      </c>
      <c r="J84" s="14"/>
      <c r="K84" s="14"/>
      <c r="L84" s="14"/>
      <c r="M84" s="1"/>
      <c r="N84" s="13"/>
      <c r="O84" s="1"/>
      <c r="P84" s="1"/>
      <c r="Q84" s="1"/>
    </row>
    <row r="85" spans="1:17" x14ac:dyDescent="0.25">
      <c r="A85" s="14" t="s">
        <v>1019</v>
      </c>
      <c r="B85" s="14">
        <f t="shared" si="18"/>
        <v>0.64235294117647113</v>
      </c>
      <c r="C85" s="14">
        <f t="shared" si="15"/>
        <v>0.13764705882352954</v>
      </c>
      <c r="D85" s="14">
        <f t="shared" si="16"/>
        <v>0.21999999999999931</v>
      </c>
      <c r="E85" s="14">
        <f>SUMPRODUCT(B85:D85,retornos!$B$28:$D$28)</f>
        <v>0.19701830103523793</v>
      </c>
      <c r="F85" s="14">
        <f t="shared" si="12"/>
        <v>7.8730496463236946E-2</v>
      </c>
      <c r="G85" s="14">
        <f t="shared" si="13"/>
        <v>7.9801066370994586E-2</v>
      </c>
      <c r="H85" s="14">
        <f t="shared" si="14"/>
        <v>0.2805895515931357</v>
      </c>
      <c r="I85" s="14">
        <f t="shared" si="17"/>
        <v>0.28249082528640568</v>
      </c>
      <c r="J85" s="14"/>
      <c r="K85" s="14"/>
      <c r="L85" s="14"/>
      <c r="M85" s="1"/>
      <c r="N85" s="13"/>
      <c r="O85" s="1"/>
      <c r="P85" s="1"/>
      <c r="Q85" s="1"/>
    </row>
    <row r="86" spans="1:17" x14ac:dyDescent="0.25">
      <c r="A86" s="14" t="s">
        <v>1020</v>
      </c>
      <c r="B86" s="14">
        <f t="shared" si="18"/>
        <v>0.65058823529411824</v>
      </c>
      <c r="C86" s="14">
        <f t="shared" si="15"/>
        <v>0.13941176470588248</v>
      </c>
      <c r="D86" s="14">
        <f t="shared" si="16"/>
        <v>0.2099999999999993</v>
      </c>
      <c r="E86" s="14">
        <f>SUMPRODUCT(B86:D86,retornos!$B$28:$D$28)</f>
        <v>0.19784635047713275</v>
      </c>
      <c r="F86" s="14">
        <f t="shared" si="12"/>
        <v>8.0814240453229283E-2</v>
      </c>
      <c r="G86" s="14">
        <f t="shared" si="13"/>
        <v>8.186036410607779E-2</v>
      </c>
      <c r="H86" s="14">
        <f t="shared" si="14"/>
        <v>0.28427845583728162</v>
      </c>
      <c r="I86" s="14">
        <f t="shared" si="17"/>
        <v>0.28611250253366732</v>
      </c>
      <c r="J86" s="14"/>
      <c r="K86" s="14"/>
      <c r="L86" s="14"/>
      <c r="M86" s="1"/>
      <c r="N86" s="13"/>
      <c r="O86" s="1"/>
      <c r="P86" s="1"/>
      <c r="Q86" s="1"/>
    </row>
    <row r="87" spans="1:17" x14ac:dyDescent="0.25">
      <c r="A87" s="14" t="s">
        <v>1021</v>
      </c>
      <c r="B87" s="14">
        <f t="shared" si="18"/>
        <v>0.65882352941176525</v>
      </c>
      <c r="C87" s="14">
        <f t="shared" si="15"/>
        <v>0.14117647058823543</v>
      </c>
      <c r="D87" s="14">
        <f t="shared" si="16"/>
        <v>0.19999999999999929</v>
      </c>
      <c r="E87" s="14">
        <f>SUMPRODUCT(B87:D87,retornos!$B$28:$D$28)</f>
        <v>0.19867439991902763</v>
      </c>
      <c r="F87" s="14">
        <f t="shared" si="12"/>
        <v>8.2926523822400192E-2</v>
      </c>
      <c r="G87" s="14">
        <f t="shared" si="13"/>
        <v>8.3945894933327644E-2</v>
      </c>
      <c r="H87" s="14">
        <f t="shared" si="14"/>
        <v>0.28796965781554174</v>
      </c>
      <c r="I87" s="14">
        <f t="shared" si="17"/>
        <v>0.28973417978092891</v>
      </c>
      <c r="J87" s="14"/>
      <c r="K87" s="14"/>
      <c r="L87" s="14"/>
      <c r="M87" s="1"/>
      <c r="N87" s="13"/>
      <c r="O87" s="1"/>
      <c r="P87" s="1"/>
      <c r="Q87" s="1"/>
    </row>
    <row r="88" spans="1:17" x14ac:dyDescent="0.25">
      <c r="A88" s="14" t="s">
        <v>1022</v>
      </c>
      <c r="B88" s="14">
        <f t="shared" si="18"/>
        <v>0.66705882352941237</v>
      </c>
      <c r="C88" s="14">
        <f t="shared" si="15"/>
        <v>0.14294117647058838</v>
      </c>
      <c r="D88" s="14">
        <f t="shared" si="16"/>
        <v>0.18999999999999928</v>
      </c>
      <c r="E88" s="14">
        <f>SUMPRODUCT(B88:D88,retornos!$B$28:$D$28)</f>
        <v>0.19950244936092251</v>
      </c>
      <c r="F88" s="14">
        <f t="shared" si="12"/>
        <v>8.5067346570749727E-2</v>
      </c>
      <c r="G88" s="14">
        <f t="shared" si="13"/>
        <v>8.6057658852744176E-2</v>
      </c>
      <c r="H88" s="14">
        <f t="shared" si="14"/>
        <v>0.29166307028958899</v>
      </c>
      <c r="I88" s="14">
        <f t="shared" si="17"/>
        <v>0.29335585702819056</v>
      </c>
      <c r="J88" s="14"/>
      <c r="K88" s="14"/>
      <c r="L88" s="14"/>
      <c r="M88" s="1"/>
      <c r="N88" s="13"/>
      <c r="O88" s="1"/>
      <c r="P88" s="1"/>
      <c r="Q88" s="1"/>
    </row>
    <row r="89" spans="1:17" x14ac:dyDescent="0.25">
      <c r="A89" s="14" t="s">
        <v>1023</v>
      </c>
      <c r="B89" s="14">
        <f t="shared" si="18"/>
        <v>0.67529411764705938</v>
      </c>
      <c r="C89" s="14">
        <f t="shared" si="15"/>
        <v>0.14470588235294132</v>
      </c>
      <c r="D89" s="14">
        <f t="shared" si="16"/>
        <v>0.17999999999999927</v>
      </c>
      <c r="E89" s="14">
        <f>SUMPRODUCT(B89:D89,retornos!$B$28:$D$28)</f>
        <v>0.20033049880281734</v>
      </c>
      <c r="F89" s="14">
        <f t="shared" si="12"/>
        <v>8.7236708698277807E-2</v>
      </c>
      <c r="G89" s="14">
        <f t="shared" si="13"/>
        <v>8.8195655864327344E-2</v>
      </c>
      <c r="H89" s="14">
        <f t="shared" si="14"/>
        <v>0.29535861033373956</v>
      </c>
      <c r="I89" s="14">
        <f t="shared" si="17"/>
        <v>0.29697753427545215</v>
      </c>
      <c r="J89" s="14"/>
      <c r="K89" s="14"/>
      <c r="L89" s="14"/>
      <c r="M89" s="1"/>
      <c r="N89" s="13"/>
      <c r="O89" s="1"/>
      <c r="P89" s="1"/>
      <c r="Q89" s="1"/>
    </row>
    <row r="90" spans="1:17" x14ac:dyDescent="0.25">
      <c r="A90" s="14" t="s">
        <v>1024</v>
      </c>
      <c r="B90" s="14">
        <f t="shared" si="18"/>
        <v>0.6835294117647065</v>
      </c>
      <c r="C90" s="14">
        <f t="shared" si="15"/>
        <v>0.14647058823529427</v>
      </c>
      <c r="D90" s="14">
        <f t="shared" si="16"/>
        <v>0.16999999999999926</v>
      </c>
      <c r="E90" s="14">
        <f>SUMPRODUCT(B90:D90,retornos!$B$28:$D$28)</f>
        <v>0.20115854824471222</v>
      </c>
      <c r="F90" s="14">
        <f t="shared" si="12"/>
        <v>8.9434610204984555E-2</v>
      </c>
      <c r="G90" s="14">
        <f t="shared" si="13"/>
        <v>9.0359885968077217E-2</v>
      </c>
      <c r="H90" s="14">
        <f t="shared" si="14"/>
        <v>0.29905619907466313</v>
      </c>
      <c r="I90" s="14">
        <f t="shared" si="17"/>
        <v>0.30059921152271379</v>
      </c>
      <c r="J90" s="14"/>
      <c r="K90" s="14"/>
      <c r="L90" s="14"/>
      <c r="M90" s="1"/>
      <c r="N90" s="13"/>
      <c r="O90" s="1"/>
      <c r="P90" s="1"/>
      <c r="Q90" s="1"/>
    </row>
    <row r="91" spans="1:17" x14ac:dyDescent="0.25">
      <c r="A91" s="14" t="s">
        <v>1025</v>
      </c>
      <c r="B91" s="14">
        <f t="shared" si="18"/>
        <v>0.6917647058823535</v>
      </c>
      <c r="C91" s="14">
        <f t="shared" si="15"/>
        <v>0.14823529411764719</v>
      </c>
      <c r="D91" s="14">
        <f t="shared" si="16"/>
        <v>0.15999999999999925</v>
      </c>
      <c r="E91" s="14">
        <f>SUMPRODUCT(B91:D91,retornos!$B$28:$D$28)</f>
        <v>0.20198659768660707</v>
      </c>
      <c r="F91" s="14">
        <f t="shared" si="12"/>
        <v>9.1661051090869874E-2</v>
      </c>
      <c r="G91" s="14">
        <f t="shared" si="13"/>
        <v>9.2550349163993725E-2</v>
      </c>
      <c r="H91" s="14">
        <f t="shared" ref="H91:H95" si="19">SQRT(F91)</f>
        <v>0.3027557614495055</v>
      </c>
      <c r="I91" s="14">
        <f t="shared" si="17"/>
        <v>0.30422088876997538</v>
      </c>
      <c r="J91" s="14"/>
      <c r="K91" s="14"/>
      <c r="L91" s="14"/>
      <c r="M91" s="1"/>
      <c r="N91" s="13"/>
      <c r="O91" s="1"/>
      <c r="P91" s="1"/>
      <c r="Q91" s="1"/>
    </row>
    <row r="92" spans="1:17" x14ac:dyDescent="0.25">
      <c r="A92" s="14" t="s">
        <v>1026</v>
      </c>
      <c r="B92" s="14">
        <f t="shared" si="18"/>
        <v>0.70000000000000062</v>
      </c>
      <c r="C92" s="14">
        <f t="shared" si="15"/>
        <v>0.15000000000000013</v>
      </c>
      <c r="D92" s="14">
        <f t="shared" si="16"/>
        <v>0.14999999999999925</v>
      </c>
      <c r="E92" s="14">
        <f>SUMPRODUCT(B92:D92,retornos!$B$28:$D$28)</f>
        <v>0.20281464712850197</v>
      </c>
      <c r="F92" s="14">
        <f t="shared" si="12"/>
        <v>9.3916031355933779E-2</v>
      </c>
      <c r="G92" s="14">
        <f t="shared" si="13"/>
        <v>9.4767045452076912E-2</v>
      </c>
      <c r="H92" s="14">
        <f t="shared" si="19"/>
        <v>0.30645722598094138</v>
      </c>
      <c r="I92" s="14">
        <f t="shared" si="17"/>
        <v>0.30784256601723697</v>
      </c>
      <c r="J92" s="14"/>
      <c r="K92" s="14"/>
      <c r="L92" s="14"/>
      <c r="M92" s="1"/>
      <c r="N92" s="13"/>
      <c r="O92" s="1"/>
      <c r="P92" s="1"/>
      <c r="Q92" s="1"/>
    </row>
    <row r="93" spans="1:17" x14ac:dyDescent="0.25">
      <c r="A93" s="14" t="s">
        <v>1027</v>
      </c>
      <c r="B93" s="14">
        <f t="shared" si="18"/>
        <v>0.70823529411764774</v>
      </c>
      <c r="C93" s="14">
        <f t="shared" si="15"/>
        <v>0.15176470588235308</v>
      </c>
      <c r="D93" s="14">
        <f t="shared" si="16"/>
        <v>0.13999999999999924</v>
      </c>
      <c r="E93" s="14">
        <f>SUMPRODUCT(B93:D93,retornos!$B$28:$D$28)</f>
        <v>0.2036426965703968</v>
      </c>
      <c r="F93" s="14">
        <f t="shared" si="12"/>
        <v>9.6199551000176325E-2</v>
      </c>
      <c r="G93" s="14">
        <f t="shared" si="13"/>
        <v>9.700997483232679E-2</v>
      </c>
      <c r="H93" s="14">
        <f t="shared" si="19"/>
        <v>0.31016052456780557</v>
      </c>
      <c r="I93" s="14">
        <f t="shared" si="17"/>
        <v>0.31146424326449862</v>
      </c>
      <c r="J93" s="14"/>
      <c r="K93" s="14"/>
      <c r="L93" s="14"/>
      <c r="M93" s="1"/>
      <c r="N93" s="13"/>
      <c r="O93" s="1"/>
      <c r="P93" s="1"/>
      <c r="Q93" s="1"/>
    </row>
    <row r="94" spans="1:17" x14ac:dyDescent="0.25">
      <c r="A94" s="14" t="s">
        <v>1028</v>
      </c>
      <c r="B94" s="14">
        <f t="shared" si="18"/>
        <v>0.71647058823529475</v>
      </c>
      <c r="C94" s="14">
        <f t="shared" si="15"/>
        <v>0.15352941176470603</v>
      </c>
      <c r="D94" s="14">
        <f t="shared" si="16"/>
        <v>0.12999999999999923</v>
      </c>
      <c r="E94" s="14">
        <f>SUMPRODUCT(B94:D94,retornos!$B$28:$D$28)</f>
        <v>0.20447074601229165</v>
      </c>
      <c r="F94" s="14">
        <f t="shared" si="12"/>
        <v>9.8511610023597387E-2</v>
      </c>
      <c r="G94" s="14">
        <f t="shared" si="13"/>
        <v>9.9279137304743262E-2</v>
      </c>
      <c r="H94" s="14">
        <f t="shared" si="19"/>
        <v>0.31386559229007149</v>
      </c>
      <c r="I94" s="14">
        <f t="shared" si="17"/>
        <v>0.31508592051176021</v>
      </c>
      <c r="J94" s="14"/>
      <c r="K94" s="14"/>
      <c r="L94" s="14"/>
      <c r="M94" s="1"/>
      <c r="N94" s="13"/>
      <c r="O94" s="1"/>
      <c r="P94" s="1"/>
      <c r="Q94" s="1"/>
    </row>
    <row r="95" spans="1:17" x14ac:dyDescent="0.25">
      <c r="A95" s="14" t="s">
        <v>1029</v>
      </c>
      <c r="B95" s="14">
        <f t="shared" si="18"/>
        <v>0.72470588235294175</v>
      </c>
      <c r="C95" s="14">
        <f t="shared" si="15"/>
        <v>0.15529411764705897</v>
      </c>
      <c r="D95" s="14">
        <f t="shared" si="16"/>
        <v>0.11999999999999923</v>
      </c>
      <c r="E95" s="14">
        <f>SUMPRODUCT(B95:D95,retornos!$B$28:$D$28)</f>
        <v>0.2052987954541865</v>
      </c>
      <c r="F95" s="14">
        <f t="shared" si="12"/>
        <v>0.10085220842619709</v>
      </c>
      <c r="G95" s="14">
        <f t="shared" si="13"/>
        <v>0.10157453286932643</v>
      </c>
      <c r="H95" s="14">
        <f t="shared" si="19"/>
        <v>0.31757236722705756</v>
      </c>
      <c r="I95" s="14">
        <f t="shared" si="17"/>
        <v>0.3187075977590218</v>
      </c>
      <c r="J95" s="14"/>
      <c r="K95" s="14"/>
      <c r="L95" s="14"/>
      <c r="M95" s="1"/>
      <c r="N95" s="13"/>
      <c r="O95" s="1"/>
      <c r="P95" s="1"/>
      <c r="Q95" s="1"/>
    </row>
  </sheetData>
  <phoneticPr fontId="5" type="noConversion"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CCD31-8B06-46BA-A6E8-A548B24D1985}">
  <dimension ref="A1:R22"/>
  <sheetViews>
    <sheetView workbookViewId="0">
      <selection activeCell="E2" sqref="E2"/>
    </sheetView>
  </sheetViews>
  <sheetFormatPr defaultRowHeight="15" x14ac:dyDescent="0.25"/>
  <cols>
    <col min="1" max="1" width="8.85546875" bestFit="1" customWidth="1"/>
    <col min="2" max="2" width="8.140625" bestFit="1" customWidth="1"/>
    <col min="3" max="3" width="9.140625" bestFit="1" customWidth="1"/>
    <col min="4" max="4" width="13.7109375" bestFit="1" customWidth="1"/>
    <col min="5" max="5" width="9.140625" bestFit="1" customWidth="1"/>
    <col min="6" max="6" width="9.5703125" bestFit="1" customWidth="1"/>
    <col min="7" max="7" width="13.7109375" bestFit="1" customWidth="1"/>
    <col min="9" max="9" width="9.5703125" bestFit="1" customWidth="1"/>
    <col min="17" max="17" width="16.85546875" bestFit="1" customWidth="1"/>
    <col min="18" max="18" width="10.140625" bestFit="1" customWidth="1"/>
  </cols>
  <sheetData>
    <row r="1" spans="1:18" x14ac:dyDescent="0.25">
      <c r="A1" t="s">
        <v>1031</v>
      </c>
      <c r="B1" t="s">
        <v>931</v>
      </c>
      <c r="C1" t="s">
        <v>1032</v>
      </c>
      <c r="D1" t="s">
        <v>923</v>
      </c>
      <c r="E1" t="s">
        <v>930</v>
      </c>
      <c r="F1" t="s">
        <v>1035</v>
      </c>
      <c r="Q1" t="s">
        <v>938</v>
      </c>
      <c r="R1" s="15">
        <v>0.1065</v>
      </c>
    </row>
    <row r="2" spans="1:18" x14ac:dyDescent="0.25">
      <c r="A2" s="14">
        <v>0</v>
      </c>
      <c r="B2" s="14">
        <f t="shared" ref="B2:B22" si="0">$R$1+A2*($R$2-$R$1)</f>
        <v>0.1065</v>
      </c>
      <c r="C2" s="14">
        <f t="shared" ref="C2:C22" si="1">A2^2*variância_a1</f>
        <v>0</v>
      </c>
      <c r="D2" s="14">
        <f>SQRT(C2)</f>
        <v>0</v>
      </c>
      <c r="E2" s="14">
        <f>$R$1-$R$6*C2/2</f>
        <v>0.1065</v>
      </c>
      <c r="F2" s="1">
        <f t="shared" ref="F2:F22" si="2">$R$11+$R$6*C2/2</f>
        <v>0.12385598796512182</v>
      </c>
      <c r="Q2" s="19" t="s">
        <v>1030</v>
      </c>
      <c r="R2" s="20">
        <f>retorno_a1</f>
        <v>0.22516239573789254</v>
      </c>
    </row>
    <row r="3" spans="1:18" x14ac:dyDescent="0.25">
      <c r="A3" s="14">
        <v>0.05</v>
      </c>
      <c r="B3" s="14">
        <f t="shared" si="0"/>
        <v>0.11243311978689463</v>
      </c>
      <c r="C3" s="14">
        <f t="shared" si="1"/>
        <v>5.0705713895949755E-4</v>
      </c>
      <c r="D3" s="14">
        <f t="shared" ref="D3:D22" si="3">SQRT(C3)</f>
        <v>2.2517929277788791E-2</v>
      </c>
      <c r="E3" s="14">
        <f t="shared" ref="E3:E22" si="4">B3-$R$6*C3/2</f>
        <v>0.11192606264793513</v>
      </c>
      <c r="F3" s="1">
        <f t="shared" si="2"/>
        <v>0.12436304510408132</v>
      </c>
      <c r="Q3" t="s">
        <v>923</v>
      </c>
      <c r="R3" s="14">
        <f>SQRT(variância_a1)</f>
        <v>0.45035858555577574</v>
      </c>
    </row>
    <row r="4" spans="1:18" x14ac:dyDescent="0.25">
      <c r="A4" s="14">
        <v>0.1</v>
      </c>
      <c r="B4" s="14">
        <f t="shared" si="0"/>
        <v>0.11836623957378925</v>
      </c>
      <c r="C4" s="14">
        <f t="shared" si="1"/>
        <v>2.0282285558379902E-3</v>
      </c>
      <c r="D4" s="14">
        <f t="shared" si="3"/>
        <v>4.5035858555577582E-2</v>
      </c>
      <c r="E4" s="14">
        <f t="shared" si="4"/>
        <v>0.11633801101795126</v>
      </c>
      <c r="F4" s="1">
        <f t="shared" si="2"/>
        <v>0.1258842165209598</v>
      </c>
      <c r="Q4" t="s">
        <v>1033</v>
      </c>
      <c r="R4" s="14">
        <f>$R$2-$R$1</f>
        <v>0.11866239573789254</v>
      </c>
    </row>
    <row r="5" spans="1:18" x14ac:dyDescent="0.25">
      <c r="A5" s="14">
        <v>0.15</v>
      </c>
      <c r="B5" s="14">
        <f t="shared" si="0"/>
        <v>0.12429935936068387</v>
      </c>
      <c r="C5" s="14">
        <f t="shared" si="1"/>
        <v>4.5635142506354771E-3</v>
      </c>
      <c r="D5" s="14">
        <f t="shared" si="3"/>
        <v>6.7553787833366366E-2</v>
      </c>
      <c r="E5" s="14">
        <f t="shared" si="4"/>
        <v>0.11973584511004839</v>
      </c>
      <c r="F5" s="1">
        <f t="shared" si="2"/>
        <v>0.12841950221575729</v>
      </c>
      <c r="Q5" t="s">
        <v>928</v>
      </c>
      <c r="R5" s="14">
        <f>(R2-R1)/R3</f>
        <v>0.26348425353422406</v>
      </c>
    </row>
    <row r="6" spans="1:18" x14ac:dyDescent="0.25">
      <c r="A6" s="14">
        <v>0.2</v>
      </c>
      <c r="B6" s="14">
        <f t="shared" si="0"/>
        <v>0.13023247914757852</v>
      </c>
      <c r="C6" s="14">
        <f t="shared" si="1"/>
        <v>8.1129142233519608E-3</v>
      </c>
      <c r="D6" s="14">
        <f t="shared" si="3"/>
        <v>9.0071717111155164E-2</v>
      </c>
      <c r="E6" s="14">
        <f t="shared" si="4"/>
        <v>0.12211956492422656</v>
      </c>
      <c r="F6" s="1">
        <f t="shared" si="2"/>
        <v>0.13196890218847379</v>
      </c>
      <c r="Q6" t="s">
        <v>1045</v>
      </c>
      <c r="R6">
        <v>2</v>
      </c>
    </row>
    <row r="7" spans="1:18" x14ac:dyDescent="0.25">
      <c r="A7" s="14">
        <v>0.25</v>
      </c>
      <c r="B7" s="14">
        <f t="shared" si="0"/>
        <v>0.13616559893447314</v>
      </c>
      <c r="C7" s="14">
        <f t="shared" si="1"/>
        <v>1.2676428473987436E-2</v>
      </c>
      <c r="D7" s="14">
        <f t="shared" si="3"/>
        <v>0.11258964638894393</v>
      </c>
      <c r="E7" s="14">
        <f t="shared" si="4"/>
        <v>0.1234891704604857</v>
      </c>
      <c r="F7" s="1">
        <f t="shared" si="2"/>
        <v>0.13653241643910924</v>
      </c>
      <c r="Q7" s="18" t="s">
        <v>1034</v>
      </c>
      <c r="R7" s="16">
        <f>($R$2-$R$1)/($R$6*variância_a1)</f>
        <v>0.29252717943532153</v>
      </c>
    </row>
    <row r="8" spans="1:18" x14ac:dyDescent="0.25">
      <c r="A8" s="14">
        <v>0.3</v>
      </c>
      <c r="B8" s="14">
        <f t="shared" si="0"/>
        <v>0.14209871872136776</v>
      </c>
      <c r="C8" s="14">
        <f t="shared" si="1"/>
        <v>1.8254057002541908E-2</v>
      </c>
      <c r="D8" s="14">
        <f t="shared" si="3"/>
        <v>0.13510757566673273</v>
      </c>
      <c r="E8" s="14">
        <f t="shared" si="4"/>
        <v>0.12384466171882585</v>
      </c>
      <c r="F8" s="1">
        <f t="shared" si="2"/>
        <v>0.14211004496766372</v>
      </c>
      <c r="Q8" s="18" t="s">
        <v>1038</v>
      </c>
      <c r="R8" s="17">
        <f>$R$1+$R$7*($R$2-$R$1)</f>
        <v>0.14121197593024362</v>
      </c>
    </row>
    <row r="9" spans="1:18" x14ac:dyDescent="0.25">
      <c r="A9" s="14">
        <v>0.35</v>
      </c>
      <c r="B9" s="14">
        <f t="shared" si="0"/>
        <v>0.14803183850826238</v>
      </c>
      <c r="C9" s="14">
        <f t="shared" si="1"/>
        <v>2.484579980901537E-2</v>
      </c>
      <c r="D9" s="14">
        <f t="shared" si="3"/>
        <v>0.15762550494452149</v>
      </c>
      <c r="E9" s="14">
        <f t="shared" si="4"/>
        <v>0.12318603869924701</v>
      </c>
      <c r="F9" s="1">
        <f t="shared" si="2"/>
        <v>0.14870178777413717</v>
      </c>
      <c r="Q9" t="s">
        <v>1039</v>
      </c>
      <c r="R9" s="1">
        <f>R7^2*variância_a1</f>
        <v>1.7355987965121812E-2</v>
      </c>
    </row>
    <row r="10" spans="1:18" x14ac:dyDescent="0.25">
      <c r="A10" s="14">
        <v>0.4</v>
      </c>
      <c r="B10" s="14">
        <f t="shared" si="0"/>
        <v>0.15396495829515702</v>
      </c>
      <c r="C10" s="14">
        <f t="shared" si="1"/>
        <v>3.2451656893407843E-2</v>
      </c>
      <c r="D10" s="14">
        <f t="shared" si="3"/>
        <v>0.18014343422231033</v>
      </c>
      <c r="E10" s="14">
        <f t="shared" si="4"/>
        <v>0.12151330140174918</v>
      </c>
      <c r="F10" s="1">
        <f t="shared" si="2"/>
        <v>0.15630764485852966</v>
      </c>
      <c r="Q10" t="s">
        <v>1040</v>
      </c>
      <c r="R10" s="1">
        <f>SQRT(R9)</f>
        <v>0.13174212676711203</v>
      </c>
    </row>
    <row r="11" spans="1:18" x14ac:dyDescent="0.25">
      <c r="A11" s="14">
        <v>0.45</v>
      </c>
      <c r="B11" s="14">
        <f t="shared" si="0"/>
        <v>0.15989807808205164</v>
      </c>
      <c r="C11" s="14">
        <f t="shared" si="1"/>
        <v>4.1071628255719299E-2</v>
      </c>
      <c r="D11" s="14">
        <f t="shared" si="3"/>
        <v>0.20266136350009908</v>
      </c>
      <c r="E11" s="14">
        <f t="shared" si="4"/>
        <v>0.11882644982633234</v>
      </c>
      <c r="F11" s="1">
        <f t="shared" si="2"/>
        <v>0.16492761622084112</v>
      </c>
      <c r="Q11" t="s">
        <v>1041</v>
      </c>
      <c r="R11" s="1">
        <f>R8-($R$6*R9)/2</f>
        <v>0.12385598796512182</v>
      </c>
    </row>
    <row r="12" spans="1:18" x14ac:dyDescent="0.25">
      <c r="A12" s="14">
        <v>0.5</v>
      </c>
      <c r="B12" s="14">
        <f t="shared" si="0"/>
        <v>0.16583119786894626</v>
      </c>
      <c r="C12" s="14">
        <f t="shared" si="1"/>
        <v>5.0705713895949744E-2</v>
      </c>
      <c r="D12" s="14">
        <f t="shared" si="3"/>
        <v>0.22517929277788787</v>
      </c>
      <c r="E12" s="14">
        <f t="shared" si="4"/>
        <v>0.11512548397299652</v>
      </c>
      <c r="F12" s="1">
        <f t="shared" si="2"/>
        <v>0.17456170186107156</v>
      </c>
      <c r="Q12" t="s">
        <v>1042</v>
      </c>
      <c r="R12" s="1">
        <f>$R$8-$R$1</f>
        <v>3.4711975930243624E-2</v>
      </c>
    </row>
    <row r="13" spans="1:18" x14ac:dyDescent="0.25">
      <c r="A13" s="14">
        <v>0.55000000000000004</v>
      </c>
      <c r="B13" s="14">
        <f t="shared" si="0"/>
        <v>0.17176431765584088</v>
      </c>
      <c r="C13" s="14">
        <f t="shared" si="1"/>
        <v>6.1353913814099201E-2</v>
      </c>
      <c r="D13" s="14">
        <f t="shared" si="3"/>
        <v>0.24769722205567668</v>
      </c>
      <c r="E13" s="14">
        <f t="shared" si="4"/>
        <v>0.11041040384174168</v>
      </c>
      <c r="F13" s="1">
        <f t="shared" si="2"/>
        <v>0.18520990177922103</v>
      </c>
      <c r="Q13" t="s">
        <v>1043</v>
      </c>
      <c r="R13" s="1">
        <f>$R$12/$R$3</f>
        <v>7.70763055119877E-2</v>
      </c>
    </row>
    <row r="14" spans="1:18" x14ac:dyDescent="0.25">
      <c r="A14" s="14">
        <v>0.6</v>
      </c>
      <c r="B14" s="14">
        <f t="shared" si="0"/>
        <v>0.17769743744273553</v>
      </c>
      <c r="C14" s="14">
        <f t="shared" si="1"/>
        <v>7.3016228010167633E-2</v>
      </c>
      <c r="D14" s="14">
        <f t="shared" si="3"/>
        <v>0.27021515133346546</v>
      </c>
      <c r="E14" s="14">
        <f t="shared" si="4"/>
        <v>0.1046812094325679</v>
      </c>
      <c r="F14" s="1">
        <f t="shared" si="2"/>
        <v>0.19687221597528945</v>
      </c>
    </row>
    <row r="15" spans="1:18" x14ac:dyDescent="0.25">
      <c r="A15" s="14">
        <v>0.65</v>
      </c>
      <c r="B15" s="14">
        <f t="shared" si="0"/>
        <v>0.18363055722963015</v>
      </c>
      <c r="C15" s="14">
        <f t="shared" si="1"/>
        <v>8.5692656484155083E-2</v>
      </c>
      <c r="D15" s="14">
        <f t="shared" si="3"/>
        <v>0.29273308061125425</v>
      </c>
      <c r="E15" s="14">
        <f t="shared" si="4"/>
        <v>9.7937900745475065E-2</v>
      </c>
      <c r="F15" s="1">
        <f t="shared" si="2"/>
        <v>0.2095486444492769</v>
      </c>
    </row>
    <row r="16" spans="1:18" x14ac:dyDescent="0.25">
      <c r="A16" s="14">
        <v>0.7</v>
      </c>
      <c r="B16" s="14">
        <f t="shared" si="0"/>
        <v>0.18956367701652477</v>
      </c>
      <c r="C16" s="14">
        <f t="shared" si="1"/>
        <v>9.9383199236061481E-2</v>
      </c>
      <c r="D16" s="14">
        <f t="shared" si="3"/>
        <v>0.31525100988904298</v>
      </c>
      <c r="E16" s="14">
        <f t="shared" si="4"/>
        <v>9.0180477780463286E-2</v>
      </c>
      <c r="F16" s="1">
        <f t="shared" si="2"/>
        <v>0.2232391872011833</v>
      </c>
    </row>
    <row r="17" spans="1:6" x14ac:dyDescent="0.25">
      <c r="A17" s="14">
        <v>0.75</v>
      </c>
      <c r="B17" s="14">
        <f t="shared" si="0"/>
        <v>0.19549679680341941</v>
      </c>
      <c r="C17" s="14">
        <f t="shared" si="1"/>
        <v>0.11408785626588692</v>
      </c>
      <c r="D17" s="14">
        <f t="shared" si="3"/>
        <v>0.33776893916683182</v>
      </c>
      <c r="E17" s="14">
        <f t="shared" si="4"/>
        <v>8.140894053753249E-2</v>
      </c>
      <c r="F17" s="1">
        <f t="shared" si="2"/>
        <v>0.23794384423100873</v>
      </c>
    </row>
    <row r="18" spans="1:6" x14ac:dyDescent="0.25">
      <c r="A18" s="14">
        <v>0.8</v>
      </c>
      <c r="B18" s="14">
        <f t="shared" si="0"/>
        <v>0.20142991659031403</v>
      </c>
      <c r="C18" s="14">
        <f t="shared" si="1"/>
        <v>0.12980662757363137</v>
      </c>
      <c r="D18" s="14">
        <f t="shared" si="3"/>
        <v>0.36028686844462066</v>
      </c>
      <c r="E18" s="14">
        <f t="shared" si="4"/>
        <v>7.1623289016682662E-2</v>
      </c>
      <c r="F18" s="1">
        <f t="shared" si="2"/>
        <v>0.25366261553875319</v>
      </c>
    </row>
    <row r="19" spans="1:6" x14ac:dyDescent="0.25">
      <c r="A19" s="14">
        <v>0.85</v>
      </c>
      <c r="B19" s="14">
        <f t="shared" si="0"/>
        <v>0.20736303637720865</v>
      </c>
      <c r="C19" s="14">
        <f t="shared" si="1"/>
        <v>0.14653951315929475</v>
      </c>
      <c r="D19" s="14">
        <f t="shared" si="3"/>
        <v>0.38280479772240938</v>
      </c>
      <c r="E19" s="14">
        <f t="shared" si="4"/>
        <v>6.08235232179139E-2</v>
      </c>
      <c r="F19" s="1">
        <f t="shared" si="2"/>
        <v>0.27039550112441657</v>
      </c>
    </row>
    <row r="20" spans="1:6" x14ac:dyDescent="0.25">
      <c r="A20" s="14">
        <v>0.9</v>
      </c>
      <c r="B20" s="14">
        <f t="shared" si="0"/>
        <v>0.2132961561641033</v>
      </c>
      <c r="C20" s="14">
        <f t="shared" si="1"/>
        <v>0.1642865130228772</v>
      </c>
      <c r="D20" s="14">
        <f t="shared" si="3"/>
        <v>0.40532272700019817</v>
      </c>
      <c r="E20" s="14">
        <f t="shared" si="4"/>
        <v>4.9009643141226106E-2</v>
      </c>
      <c r="F20" s="1">
        <f t="shared" si="2"/>
        <v>0.28814250098799898</v>
      </c>
    </row>
    <row r="21" spans="1:6" x14ac:dyDescent="0.25">
      <c r="A21" s="14">
        <v>0.95</v>
      </c>
      <c r="B21" s="14">
        <f t="shared" si="0"/>
        <v>0.21922927595099789</v>
      </c>
      <c r="C21" s="14">
        <f t="shared" si="1"/>
        <v>0.18304762716437858</v>
      </c>
      <c r="D21" s="14">
        <f t="shared" si="3"/>
        <v>0.42784065627798695</v>
      </c>
      <c r="E21" s="14">
        <f t="shared" si="4"/>
        <v>3.6181648786619308E-2</v>
      </c>
      <c r="F21" s="1">
        <f t="shared" si="2"/>
        <v>0.30690361512950037</v>
      </c>
    </row>
    <row r="22" spans="1:6" x14ac:dyDescent="0.25">
      <c r="A22" s="14">
        <v>1</v>
      </c>
      <c r="B22" s="14">
        <f t="shared" si="0"/>
        <v>0.22516239573789254</v>
      </c>
      <c r="C22" s="14">
        <f t="shared" si="1"/>
        <v>0.20282285558379898</v>
      </c>
      <c r="D22" s="14">
        <f t="shared" si="3"/>
        <v>0.45035858555577574</v>
      </c>
      <c r="E22" s="14">
        <f t="shared" si="4"/>
        <v>2.2339540154093562E-2</v>
      </c>
      <c r="F22" s="1">
        <f t="shared" si="2"/>
        <v>0.32667884354892079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65B1D-3EEC-4F53-8556-5B40A3178D1C}">
  <sheetPr codeName="Planilha5"/>
  <dimension ref="A1:C6051"/>
  <sheetViews>
    <sheetView workbookViewId="0"/>
  </sheetViews>
  <sheetFormatPr defaultRowHeight="15" x14ac:dyDescent="0.25"/>
  <cols>
    <col min="1" max="1" width="10.7109375" bestFit="1" customWidth="1"/>
    <col min="2" max="2" width="11" bestFit="1" customWidth="1"/>
  </cols>
  <sheetData>
    <row r="1" spans="1:2" x14ac:dyDescent="0.25">
      <c r="A1" t="s">
        <v>1</v>
      </c>
      <c r="B1" t="s">
        <v>917</v>
      </c>
    </row>
    <row r="2" spans="1:2" x14ac:dyDescent="0.25">
      <c r="A2" s="6">
        <v>35797</v>
      </c>
      <c r="B2">
        <v>1.2139E-3</v>
      </c>
    </row>
    <row r="3" spans="1:2" x14ac:dyDescent="0.25">
      <c r="A3" s="6">
        <v>35800</v>
      </c>
      <c r="B3">
        <v>1.2642200000000001E-3</v>
      </c>
    </row>
    <row r="4" spans="1:2" x14ac:dyDescent="0.25">
      <c r="A4" s="6">
        <v>35801</v>
      </c>
      <c r="B4">
        <v>1.2772E-3</v>
      </c>
    </row>
    <row r="5" spans="1:2" x14ac:dyDescent="0.25">
      <c r="A5" s="6">
        <v>35802</v>
      </c>
      <c r="B5">
        <v>1.2809400000000002E-3</v>
      </c>
    </row>
    <row r="6" spans="1:2" x14ac:dyDescent="0.25">
      <c r="A6" s="6">
        <v>35803</v>
      </c>
      <c r="B6">
        <v>1.2800800000000001E-3</v>
      </c>
    </row>
    <row r="7" spans="1:2" x14ac:dyDescent="0.25">
      <c r="A7" s="6">
        <v>35804</v>
      </c>
      <c r="B7">
        <v>1.2795E-3</v>
      </c>
    </row>
    <row r="8" spans="1:2" x14ac:dyDescent="0.25">
      <c r="A8" s="6">
        <v>35807</v>
      </c>
      <c r="B8">
        <v>1.2783500000000001E-3</v>
      </c>
    </row>
    <row r="9" spans="1:2" x14ac:dyDescent="0.25">
      <c r="A9" s="6">
        <v>35808</v>
      </c>
      <c r="B9">
        <v>1.27921E-3</v>
      </c>
    </row>
    <row r="10" spans="1:2" x14ac:dyDescent="0.25">
      <c r="A10" s="6">
        <v>35809</v>
      </c>
      <c r="B10">
        <v>1.2743199999999998E-3</v>
      </c>
    </row>
    <row r="11" spans="1:2" x14ac:dyDescent="0.25">
      <c r="A11" s="6">
        <v>35810</v>
      </c>
      <c r="B11">
        <v>1.2746099999999998E-3</v>
      </c>
    </row>
    <row r="12" spans="1:2" x14ac:dyDescent="0.25">
      <c r="A12" s="6">
        <v>35811</v>
      </c>
      <c r="B12">
        <v>1.2740299999999998E-3</v>
      </c>
    </row>
    <row r="13" spans="1:2" x14ac:dyDescent="0.25">
      <c r="A13" s="6">
        <v>35814</v>
      </c>
      <c r="B13">
        <v>1.27086E-3</v>
      </c>
    </row>
    <row r="14" spans="1:2" x14ac:dyDescent="0.25">
      <c r="A14" s="6">
        <v>35815</v>
      </c>
      <c r="B14">
        <v>1.2665299999999999E-3</v>
      </c>
    </row>
    <row r="15" spans="1:2" x14ac:dyDescent="0.25">
      <c r="A15" s="6">
        <v>35816</v>
      </c>
      <c r="B15">
        <v>1.2627700000000001E-3</v>
      </c>
    </row>
    <row r="16" spans="1:2" x14ac:dyDescent="0.25">
      <c r="A16" s="6">
        <v>35817</v>
      </c>
      <c r="B16">
        <v>1.2619E-3</v>
      </c>
    </row>
    <row r="17" spans="1:2" x14ac:dyDescent="0.25">
      <c r="A17" s="6">
        <v>35818</v>
      </c>
      <c r="B17">
        <v>1.2619E-3</v>
      </c>
    </row>
    <row r="18" spans="1:2" x14ac:dyDescent="0.25">
      <c r="A18" s="6">
        <v>35821</v>
      </c>
      <c r="B18">
        <v>1.2448099999999998E-3</v>
      </c>
    </row>
    <row r="19" spans="1:2" x14ac:dyDescent="0.25">
      <c r="A19" s="6">
        <v>35822</v>
      </c>
      <c r="B19">
        <v>1.2360799999999999E-3</v>
      </c>
    </row>
    <row r="20" spans="1:2" x14ac:dyDescent="0.25">
      <c r="A20" s="6">
        <v>35823</v>
      </c>
      <c r="B20">
        <v>1.2302599999999999E-3</v>
      </c>
    </row>
    <row r="21" spans="1:2" x14ac:dyDescent="0.25">
      <c r="A21" s="6">
        <v>35824</v>
      </c>
      <c r="B21">
        <v>1.16917E-3</v>
      </c>
    </row>
    <row r="22" spans="1:2" x14ac:dyDescent="0.25">
      <c r="A22" s="6">
        <v>35825</v>
      </c>
      <c r="B22">
        <v>1.18542E-3</v>
      </c>
    </row>
    <row r="23" spans="1:2" x14ac:dyDescent="0.25">
      <c r="A23" s="6">
        <v>35828</v>
      </c>
      <c r="B23">
        <v>1.17538E-3</v>
      </c>
    </row>
    <row r="24" spans="1:2" x14ac:dyDescent="0.25">
      <c r="A24" s="6">
        <v>35829</v>
      </c>
      <c r="B24">
        <v>1.1756800000000001E-3</v>
      </c>
    </row>
    <row r="25" spans="1:2" x14ac:dyDescent="0.25">
      <c r="A25" s="6">
        <v>35830</v>
      </c>
      <c r="B25">
        <v>1.18217E-3</v>
      </c>
    </row>
    <row r="26" spans="1:2" x14ac:dyDescent="0.25">
      <c r="A26" s="6">
        <v>35831</v>
      </c>
      <c r="B26">
        <v>1.1756800000000001E-3</v>
      </c>
    </row>
    <row r="27" spans="1:2" x14ac:dyDescent="0.25">
      <c r="A27" s="6">
        <v>35832</v>
      </c>
      <c r="B27">
        <v>1.18129E-3</v>
      </c>
    </row>
    <row r="28" spans="1:2" x14ac:dyDescent="0.25">
      <c r="A28" s="6">
        <v>35835</v>
      </c>
      <c r="B28">
        <v>1.1762699999999999E-3</v>
      </c>
    </row>
    <row r="29" spans="1:2" x14ac:dyDescent="0.25">
      <c r="A29" s="6">
        <v>35836</v>
      </c>
      <c r="B29">
        <v>1.1762699999999999E-3</v>
      </c>
    </row>
    <row r="30" spans="1:2" x14ac:dyDescent="0.25">
      <c r="A30" s="6">
        <v>35837</v>
      </c>
      <c r="B30">
        <v>1.17538E-3</v>
      </c>
    </row>
    <row r="31" spans="1:2" x14ac:dyDescent="0.25">
      <c r="A31" s="6">
        <v>35838</v>
      </c>
      <c r="B31">
        <v>1.1742E-3</v>
      </c>
    </row>
    <row r="32" spans="1:2" x14ac:dyDescent="0.25">
      <c r="A32" s="6">
        <v>35839</v>
      </c>
      <c r="B32">
        <v>1.18188E-3</v>
      </c>
    </row>
    <row r="33" spans="1:2" x14ac:dyDescent="0.25">
      <c r="A33" s="6">
        <v>35842</v>
      </c>
      <c r="B33">
        <v>1.1742E-3</v>
      </c>
    </row>
    <row r="34" spans="1:2" x14ac:dyDescent="0.25">
      <c r="A34" s="6">
        <v>35843</v>
      </c>
      <c r="B34">
        <v>1.1736099999999998E-3</v>
      </c>
    </row>
    <row r="35" spans="1:2" x14ac:dyDescent="0.25">
      <c r="A35" s="6">
        <v>35844</v>
      </c>
      <c r="B35">
        <v>1.1730200000000001E-3</v>
      </c>
    </row>
    <row r="36" spans="1:2" x14ac:dyDescent="0.25">
      <c r="A36" s="6">
        <v>35845</v>
      </c>
      <c r="B36">
        <v>1.1641400000000001E-3</v>
      </c>
    </row>
    <row r="37" spans="1:2" x14ac:dyDescent="0.25">
      <c r="A37" s="6">
        <v>35846</v>
      </c>
      <c r="B37">
        <v>1.16117E-3</v>
      </c>
    </row>
    <row r="38" spans="1:2" x14ac:dyDescent="0.25">
      <c r="A38" s="6">
        <v>35851</v>
      </c>
      <c r="B38">
        <v>1.16117E-3</v>
      </c>
    </row>
    <row r="39" spans="1:2" x14ac:dyDescent="0.25">
      <c r="A39" s="6">
        <v>35852</v>
      </c>
      <c r="B39">
        <v>1.1522699999999999E-3</v>
      </c>
    </row>
    <row r="40" spans="1:2" x14ac:dyDescent="0.25">
      <c r="A40" s="6">
        <v>35853</v>
      </c>
      <c r="B40">
        <v>1.1528599999999999E-3</v>
      </c>
    </row>
    <row r="41" spans="1:2" x14ac:dyDescent="0.25">
      <c r="A41" s="6">
        <v>35856</v>
      </c>
      <c r="B41">
        <v>1.15256E-3</v>
      </c>
    </row>
    <row r="42" spans="1:2" x14ac:dyDescent="0.25">
      <c r="A42" s="6">
        <v>35857</v>
      </c>
      <c r="B42">
        <v>1.14959E-3</v>
      </c>
    </row>
    <row r="43" spans="1:2" x14ac:dyDescent="0.25">
      <c r="A43" s="6">
        <v>35858</v>
      </c>
      <c r="B43">
        <v>1.1188400000000001E-3</v>
      </c>
    </row>
    <row r="44" spans="1:2" x14ac:dyDescent="0.25">
      <c r="A44" s="6">
        <v>35859</v>
      </c>
      <c r="B44">
        <v>9.7697999999999991E-4</v>
      </c>
    </row>
    <row r="45" spans="1:2" x14ac:dyDescent="0.25">
      <c r="A45" s="6">
        <v>35860</v>
      </c>
      <c r="B45">
        <v>9.8131999999999994E-4</v>
      </c>
    </row>
    <row r="46" spans="1:2" x14ac:dyDescent="0.25">
      <c r="A46" s="6">
        <v>35863</v>
      </c>
      <c r="B46">
        <v>9.7883999999999992E-4</v>
      </c>
    </row>
    <row r="47" spans="1:2" x14ac:dyDescent="0.25">
      <c r="A47" s="6">
        <v>35864</v>
      </c>
      <c r="B47">
        <v>9.7697999999999991E-4</v>
      </c>
    </row>
    <row r="48" spans="1:2" x14ac:dyDescent="0.25">
      <c r="A48" s="6">
        <v>35865</v>
      </c>
      <c r="B48">
        <v>9.7232000000000004E-4</v>
      </c>
    </row>
    <row r="49" spans="1:2" x14ac:dyDescent="0.25">
      <c r="A49" s="6">
        <v>35866</v>
      </c>
      <c r="B49">
        <v>9.6203999999999994E-4</v>
      </c>
    </row>
    <row r="50" spans="1:2" x14ac:dyDescent="0.25">
      <c r="A50" s="6">
        <v>35867</v>
      </c>
      <c r="B50">
        <v>9.7667000000000001E-4</v>
      </c>
    </row>
    <row r="51" spans="1:2" x14ac:dyDescent="0.25">
      <c r="A51" s="6">
        <v>35870</v>
      </c>
      <c r="B51">
        <v>9.6858000000000003E-4</v>
      </c>
    </row>
    <row r="52" spans="1:2" x14ac:dyDescent="0.25">
      <c r="A52" s="6">
        <v>35871</v>
      </c>
      <c r="B52">
        <v>9.6453999999999995E-4</v>
      </c>
    </row>
    <row r="53" spans="1:2" x14ac:dyDescent="0.25">
      <c r="A53" s="6">
        <v>35872</v>
      </c>
      <c r="B53">
        <v>9.6485000000000006E-4</v>
      </c>
    </row>
    <row r="54" spans="1:2" x14ac:dyDescent="0.25">
      <c r="A54" s="6">
        <v>35873</v>
      </c>
      <c r="B54">
        <v>9.5893000000000009E-4</v>
      </c>
    </row>
    <row r="55" spans="1:2" x14ac:dyDescent="0.25">
      <c r="A55" s="6">
        <v>35874</v>
      </c>
      <c r="B55">
        <v>9.6298E-4</v>
      </c>
    </row>
    <row r="56" spans="1:2" x14ac:dyDescent="0.25">
      <c r="A56" s="6">
        <v>35877</v>
      </c>
      <c r="B56">
        <v>9.5985999999999999E-4</v>
      </c>
    </row>
    <row r="57" spans="1:2" x14ac:dyDescent="0.25">
      <c r="A57" s="6">
        <v>35878</v>
      </c>
      <c r="B57">
        <v>9.5923999999999998E-4</v>
      </c>
    </row>
    <row r="58" spans="1:2" x14ac:dyDescent="0.25">
      <c r="A58" s="6">
        <v>35879</v>
      </c>
      <c r="B58">
        <v>9.5954999999999999E-4</v>
      </c>
    </row>
    <row r="59" spans="1:2" x14ac:dyDescent="0.25">
      <c r="A59" s="6">
        <v>35880</v>
      </c>
      <c r="B59">
        <v>9.5954999999999999E-4</v>
      </c>
    </row>
    <row r="60" spans="1:2" x14ac:dyDescent="0.25">
      <c r="A60" s="6">
        <v>35881</v>
      </c>
      <c r="B60">
        <v>9.5923999999999998E-4</v>
      </c>
    </row>
    <row r="61" spans="1:2" x14ac:dyDescent="0.25">
      <c r="A61" s="6">
        <v>35884</v>
      </c>
      <c r="B61">
        <v>9.5861000000000004E-4</v>
      </c>
    </row>
    <row r="62" spans="1:2" x14ac:dyDescent="0.25">
      <c r="A62" s="6">
        <v>35885</v>
      </c>
      <c r="B62">
        <v>9.5737000000000003E-4</v>
      </c>
    </row>
    <row r="63" spans="1:2" x14ac:dyDescent="0.25">
      <c r="A63" s="6">
        <v>35886</v>
      </c>
      <c r="B63">
        <v>9.5673999999999998E-4</v>
      </c>
    </row>
    <row r="64" spans="1:2" x14ac:dyDescent="0.25">
      <c r="A64" s="6">
        <v>35887</v>
      </c>
      <c r="B64">
        <v>9.5643000000000008E-4</v>
      </c>
    </row>
    <row r="65" spans="1:2" x14ac:dyDescent="0.25">
      <c r="A65" s="6">
        <v>35888</v>
      </c>
      <c r="B65">
        <v>9.5704999999999998E-4</v>
      </c>
    </row>
    <row r="66" spans="1:2" x14ac:dyDescent="0.25">
      <c r="A66" s="6">
        <v>35891</v>
      </c>
      <c r="B66">
        <v>9.6765000000000002E-4</v>
      </c>
    </row>
    <row r="67" spans="1:2" x14ac:dyDescent="0.25">
      <c r="A67" s="6">
        <v>35892</v>
      </c>
      <c r="B67">
        <v>9.7759999999999991E-4</v>
      </c>
    </row>
    <row r="68" spans="1:2" x14ac:dyDescent="0.25">
      <c r="A68" s="6">
        <v>35893</v>
      </c>
      <c r="B68">
        <v>9.7883999999999992E-4</v>
      </c>
    </row>
    <row r="69" spans="1:2" x14ac:dyDescent="0.25">
      <c r="A69" s="6">
        <v>35898</v>
      </c>
      <c r="B69">
        <v>9.7479999999999995E-4</v>
      </c>
    </row>
    <row r="70" spans="1:2" x14ac:dyDescent="0.25">
      <c r="A70" s="6">
        <v>35899</v>
      </c>
      <c r="B70">
        <v>9.6982999999999998E-4</v>
      </c>
    </row>
    <row r="71" spans="1:2" x14ac:dyDescent="0.25">
      <c r="A71" s="6">
        <v>35900</v>
      </c>
      <c r="B71">
        <v>9.1438000000000001E-4</v>
      </c>
    </row>
    <row r="72" spans="1:2" x14ac:dyDescent="0.25">
      <c r="A72" s="6">
        <v>35901</v>
      </c>
      <c r="B72">
        <v>8.4017999999999994E-4</v>
      </c>
    </row>
    <row r="73" spans="1:2" x14ac:dyDescent="0.25">
      <c r="A73" s="6">
        <v>35902</v>
      </c>
      <c r="B73">
        <v>8.3310999999999997E-4</v>
      </c>
    </row>
    <row r="74" spans="1:2" x14ac:dyDescent="0.25">
      <c r="A74" s="6">
        <v>35905</v>
      </c>
      <c r="B74">
        <v>8.2826999999999998E-4</v>
      </c>
    </row>
    <row r="75" spans="1:2" x14ac:dyDescent="0.25">
      <c r="A75" s="6">
        <v>35907</v>
      </c>
      <c r="B75">
        <v>8.2699E-4</v>
      </c>
    </row>
    <row r="76" spans="1:2" x14ac:dyDescent="0.25">
      <c r="A76" s="6">
        <v>35908</v>
      </c>
      <c r="B76">
        <v>8.2699E-4</v>
      </c>
    </row>
    <row r="77" spans="1:2" x14ac:dyDescent="0.25">
      <c r="A77" s="6">
        <v>35909</v>
      </c>
      <c r="B77">
        <v>8.2699E-4</v>
      </c>
    </row>
    <row r="78" spans="1:2" x14ac:dyDescent="0.25">
      <c r="A78" s="6">
        <v>35912</v>
      </c>
      <c r="B78">
        <v>8.260199999999999E-4</v>
      </c>
    </row>
    <row r="79" spans="1:2" x14ac:dyDescent="0.25">
      <c r="A79" s="6">
        <v>35913</v>
      </c>
      <c r="B79">
        <v>8.2730999999999994E-4</v>
      </c>
    </row>
    <row r="80" spans="1:2" x14ac:dyDescent="0.25">
      <c r="A80" s="6">
        <v>35914</v>
      </c>
      <c r="B80">
        <v>8.2439999999999998E-4</v>
      </c>
    </row>
    <row r="81" spans="1:2" x14ac:dyDescent="0.25">
      <c r="A81" s="6">
        <v>35915</v>
      </c>
      <c r="B81">
        <v>8.1698000000000003E-4</v>
      </c>
    </row>
    <row r="82" spans="1:2" x14ac:dyDescent="0.25">
      <c r="A82" s="6">
        <v>35919</v>
      </c>
      <c r="B82">
        <v>8.2247000000000006E-4</v>
      </c>
    </row>
    <row r="83" spans="1:2" x14ac:dyDescent="0.25">
      <c r="A83" s="6">
        <v>35920</v>
      </c>
      <c r="B83">
        <v>8.3375000000000007E-4</v>
      </c>
    </row>
    <row r="84" spans="1:2" x14ac:dyDescent="0.25">
      <c r="A84" s="6">
        <v>35921</v>
      </c>
      <c r="B84">
        <v>8.3246000000000004E-4</v>
      </c>
    </row>
    <row r="85" spans="1:2" x14ac:dyDescent="0.25">
      <c r="A85" s="6">
        <v>35922</v>
      </c>
      <c r="B85">
        <v>8.2794999999999993E-4</v>
      </c>
    </row>
    <row r="86" spans="1:2" x14ac:dyDescent="0.25">
      <c r="A86" s="6">
        <v>35923</v>
      </c>
      <c r="B86">
        <v>8.2794999999999993E-4</v>
      </c>
    </row>
    <row r="87" spans="1:2" x14ac:dyDescent="0.25">
      <c r="A87" s="6">
        <v>35926</v>
      </c>
      <c r="B87">
        <v>8.2923999999999997E-4</v>
      </c>
    </row>
    <row r="88" spans="1:2" x14ac:dyDescent="0.25">
      <c r="A88" s="6">
        <v>35927</v>
      </c>
      <c r="B88">
        <v>8.3599999999999994E-4</v>
      </c>
    </row>
    <row r="89" spans="1:2" x14ac:dyDescent="0.25">
      <c r="A89" s="6">
        <v>35928</v>
      </c>
      <c r="B89">
        <v>8.2923999999999997E-4</v>
      </c>
    </row>
    <row r="90" spans="1:2" x14ac:dyDescent="0.25">
      <c r="A90" s="6">
        <v>35929</v>
      </c>
      <c r="B90">
        <v>8.2923999999999997E-4</v>
      </c>
    </row>
    <row r="91" spans="1:2" x14ac:dyDescent="0.25">
      <c r="A91" s="6">
        <v>35930</v>
      </c>
      <c r="B91">
        <v>8.2699E-4</v>
      </c>
    </row>
    <row r="92" spans="1:2" x14ac:dyDescent="0.25">
      <c r="A92" s="6">
        <v>35933</v>
      </c>
      <c r="B92">
        <v>8.2570000000000007E-4</v>
      </c>
    </row>
    <row r="93" spans="1:2" x14ac:dyDescent="0.25">
      <c r="A93" s="6">
        <v>35934</v>
      </c>
      <c r="B93">
        <v>8.2504999999999992E-4</v>
      </c>
    </row>
    <row r="94" spans="1:2" x14ac:dyDescent="0.25">
      <c r="A94" s="6">
        <v>35935</v>
      </c>
      <c r="B94">
        <v>7.9882999999999994E-4</v>
      </c>
    </row>
    <row r="95" spans="1:2" x14ac:dyDescent="0.25">
      <c r="A95" s="6">
        <v>35936</v>
      </c>
      <c r="B95">
        <v>7.7930000000000002E-4</v>
      </c>
    </row>
    <row r="96" spans="1:2" x14ac:dyDescent="0.25">
      <c r="A96" s="6">
        <v>35937</v>
      </c>
      <c r="B96">
        <v>7.7603000000000004E-4</v>
      </c>
    </row>
    <row r="97" spans="1:2" x14ac:dyDescent="0.25">
      <c r="A97" s="6">
        <v>35940</v>
      </c>
      <c r="B97">
        <v>7.7570999999999998E-4</v>
      </c>
    </row>
    <row r="98" spans="1:2" x14ac:dyDescent="0.25">
      <c r="A98" s="6">
        <v>35941</v>
      </c>
      <c r="B98">
        <v>7.7570999999999998E-4</v>
      </c>
    </row>
    <row r="99" spans="1:2" x14ac:dyDescent="0.25">
      <c r="A99" s="6">
        <v>35942</v>
      </c>
      <c r="B99">
        <v>7.7537999999999999E-4</v>
      </c>
    </row>
    <row r="100" spans="1:2" x14ac:dyDescent="0.25">
      <c r="A100" s="6">
        <v>35943</v>
      </c>
      <c r="B100">
        <v>7.7537999999999999E-4</v>
      </c>
    </row>
    <row r="101" spans="1:2" x14ac:dyDescent="0.25">
      <c r="A101" s="6">
        <v>35944</v>
      </c>
      <c r="B101">
        <v>7.7309000000000004E-4</v>
      </c>
    </row>
    <row r="102" spans="1:2" x14ac:dyDescent="0.25">
      <c r="A102" s="6">
        <v>35947</v>
      </c>
      <c r="B102">
        <v>7.6327000000000003E-4</v>
      </c>
    </row>
    <row r="103" spans="1:2" x14ac:dyDescent="0.25">
      <c r="A103" s="6">
        <v>35948</v>
      </c>
      <c r="B103">
        <v>7.5868000000000007E-4</v>
      </c>
    </row>
    <row r="104" spans="1:2" x14ac:dyDescent="0.25">
      <c r="A104" s="6">
        <v>35949</v>
      </c>
      <c r="B104">
        <v>7.5868000000000007E-4</v>
      </c>
    </row>
    <row r="105" spans="1:2" x14ac:dyDescent="0.25">
      <c r="A105" s="6">
        <v>35950</v>
      </c>
      <c r="B105">
        <v>7.5900999999999996E-4</v>
      </c>
    </row>
    <row r="106" spans="1:2" x14ac:dyDescent="0.25">
      <c r="A106" s="6">
        <v>35951</v>
      </c>
      <c r="B106">
        <v>7.5900999999999996E-4</v>
      </c>
    </row>
    <row r="107" spans="1:2" x14ac:dyDescent="0.25">
      <c r="A107" s="6">
        <v>35954</v>
      </c>
      <c r="B107">
        <v>7.5934000000000006E-4</v>
      </c>
    </row>
    <row r="108" spans="1:2" x14ac:dyDescent="0.25">
      <c r="A108" s="6">
        <v>35955</v>
      </c>
      <c r="B108">
        <v>7.5967000000000005E-4</v>
      </c>
    </row>
    <row r="109" spans="1:2" x14ac:dyDescent="0.25">
      <c r="A109" s="6">
        <v>35956</v>
      </c>
      <c r="B109">
        <v>7.5967000000000005E-4</v>
      </c>
    </row>
    <row r="110" spans="1:2" x14ac:dyDescent="0.25">
      <c r="A110" s="6">
        <v>35958</v>
      </c>
      <c r="B110">
        <v>7.5967000000000005E-4</v>
      </c>
    </row>
    <row r="111" spans="1:2" x14ac:dyDescent="0.25">
      <c r="A111" s="6">
        <v>35961</v>
      </c>
      <c r="B111">
        <v>7.5967000000000005E-4</v>
      </c>
    </row>
    <row r="112" spans="1:2" x14ac:dyDescent="0.25">
      <c r="A112" s="6">
        <v>35962</v>
      </c>
      <c r="B112">
        <v>7.5967000000000005E-4</v>
      </c>
    </row>
    <row r="113" spans="1:2" x14ac:dyDescent="0.25">
      <c r="A113" s="6">
        <v>35963</v>
      </c>
      <c r="B113">
        <v>7.5967000000000005E-4</v>
      </c>
    </row>
    <row r="114" spans="1:2" x14ac:dyDescent="0.25">
      <c r="A114" s="6">
        <v>35964</v>
      </c>
      <c r="B114">
        <v>7.5999999999999993E-4</v>
      </c>
    </row>
    <row r="115" spans="1:2" x14ac:dyDescent="0.25">
      <c r="A115" s="6">
        <v>35965</v>
      </c>
      <c r="B115">
        <v>7.5967000000000005E-4</v>
      </c>
    </row>
    <row r="116" spans="1:2" x14ac:dyDescent="0.25">
      <c r="A116" s="6">
        <v>35968</v>
      </c>
      <c r="B116">
        <v>7.5967000000000005E-4</v>
      </c>
    </row>
    <row r="117" spans="1:2" x14ac:dyDescent="0.25">
      <c r="A117" s="6">
        <v>35969</v>
      </c>
      <c r="B117">
        <v>7.5967000000000005E-4</v>
      </c>
    </row>
    <row r="118" spans="1:2" x14ac:dyDescent="0.25">
      <c r="A118" s="6">
        <v>35970</v>
      </c>
      <c r="B118">
        <v>7.5836000000000002E-4</v>
      </c>
    </row>
    <row r="119" spans="1:2" x14ac:dyDescent="0.25">
      <c r="A119" s="6">
        <v>35971</v>
      </c>
      <c r="B119">
        <v>7.4883000000000003E-4</v>
      </c>
    </row>
    <row r="120" spans="1:2" x14ac:dyDescent="0.25">
      <c r="A120" s="6">
        <v>35972</v>
      </c>
      <c r="B120">
        <v>7.4883000000000003E-4</v>
      </c>
    </row>
    <row r="121" spans="1:2" x14ac:dyDescent="0.25">
      <c r="A121" s="6">
        <v>35975</v>
      </c>
      <c r="B121">
        <v>7.4686000000000002E-4</v>
      </c>
    </row>
    <row r="122" spans="1:2" x14ac:dyDescent="0.25">
      <c r="A122" s="6">
        <v>35976</v>
      </c>
      <c r="B122">
        <v>7.4521000000000006E-4</v>
      </c>
    </row>
    <row r="123" spans="1:2" x14ac:dyDescent="0.25">
      <c r="A123" s="6">
        <v>35977</v>
      </c>
      <c r="B123">
        <v>7.4324000000000005E-4</v>
      </c>
    </row>
    <row r="124" spans="1:2" x14ac:dyDescent="0.25">
      <c r="A124" s="6">
        <v>35978</v>
      </c>
      <c r="B124">
        <v>7.4191999999999997E-4</v>
      </c>
    </row>
    <row r="125" spans="1:2" x14ac:dyDescent="0.25">
      <c r="A125" s="6">
        <v>35979</v>
      </c>
      <c r="B125">
        <v>7.402699999999999E-4</v>
      </c>
    </row>
    <row r="126" spans="1:2" x14ac:dyDescent="0.25">
      <c r="A126" s="6">
        <v>35982</v>
      </c>
      <c r="B126">
        <v>7.3895000000000005E-4</v>
      </c>
    </row>
    <row r="127" spans="1:2" x14ac:dyDescent="0.25">
      <c r="A127" s="6">
        <v>35983</v>
      </c>
      <c r="B127">
        <v>7.3994000000000002E-4</v>
      </c>
    </row>
    <row r="128" spans="1:2" x14ac:dyDescent="0.25">
      <c r="A128" s="6">
        <v>35984</v>
      </c>
      <c r="B128">
        <v>7.3994000000000002E-4</v>
      </c>
    </row>
    <row r="129" spans="1:2" x14ac:dyDescent="0.25">
      <c r="A129" s="6">
        <v>35985</v>
      </c>
      <c r="B129">
        <v>7.3994000000000002E-4</v>
      </c>
    </row>
    <row r="130" spans="1:2" x14ac:dyDescent="0.25">
      <c r="A130" s="6">
        <v>35986</v>
      </c>
      <c r="B130">
        <v>7.3994000000000002E-4</v>
      </c>
    </row>
    <row r="131" spans="1:2" x14ac:dyDescent="0.25">
      <c r="A131" s="6">
        <v>35989</v>
      </c>
      <c r="B131">
        <v>7.3994000000000002E-4</v>
      </c>
    </row>
    <row r="132" spans="1:2" x14ac:dyDescent="0.25">
      <c r="A132" s="6">
        <v>35990</v>
      </c>
      <c r="B132">
        <v>7.3994000000000002E-4</v>
      </c>
    </row>
    <row r="133" spans="1:2" x14ac:dyDescent="0.25">
      <c r="A133" s="6">
        <v>35991</v>
      </c>
      <c r="B133">
        <v>7.3994000000000002E-4</v>
      </c>
    </row>
    <row r="134" spans="1:2" x14ac:dyDescent="0.25">
      <c r="A134" s="6">
        <v>35992</v>
      </c>
      <c r="B134">
        <v>7.3994000000000002E-4</v>
      </c>
    </row>
    <row r="135" spans="1:2" x14ac:dyDescent="0.25">
      <c r="A135" s="6">
        <v>35993</v>
      </c>
      <c r="B135">
        <v>7.3994000000000002E-4</v>
      </c>
    </row>
    <row r="136" spans="1:2" x14ac:dyDescent="0.25">
      <c r="A136" s="6">
        <v>35996</v>
      </c>
      <c r="B136">
        <v>7.3994000000000002E-4</v>
      </c>
    </row>
    <row r="137" spans="1:2" x14ac:dyDescent="0.25">
      <c r="A137" s="6">
        <v>35997</v>
      </c>
      <c r="B137">
        <v>7.3994000000000002E-4</v>
      </c>
    </row>
    <row r="138" spans="1:2" x14ac:dyDescent="0.25">
      <c r="A138" s="6">
        <v>35998</v>
      </c>
      <c r="B138">
        <v>7.3664999999999994E-4</v>
      </c>
    </row>
    <row r="139" spans="1:2" x14ac:dyDescent="0.25">
      <c r="A139" s="6">
        <v>35999</v>
      </c>
      <c r="B139">
        <v>7.3202E-4</v>
      </c>
    </row>
    <row r="140" spans="1:2" x14ac:dyDescent="0.25">
      <c r="A140" s="6">
        <v>36000</v>
      </c>
      <c r="B140">
        <v>7.3003999999999994E-4</v>
      </c>
    </row>
    <row r="141" spans="1:2" x14ac:dyDescent="0.25">
      <c r="A141" s="6">
        <v>36003</v>
      </c>
      <c r="B141">
        <v>7.2674000000000002E-4</v>
      </c>
    </row>
    <row r="142" spans="1:2" x14ac:dyDescent="0.25">
      <c r="A142" s="6">
        <v>36004</v>
      </c>
      <c r="B142">
        <v>7.2343000000000006E-4</v>
      </c>
    </row>
    <row r="143" spans="1:2" x14ac:dyDescent="0.25">
      <c r="A143" s="6">
        <v>36005</v>
      </c>
      <c r="B143">
        <v>7.2309999999999996E-4</v>
      </c>
    </row>
    <row r="144" spans="1:2" x14ac:dyDescent="0.25">
      <c r="A144" s="6">
        <v>36006</v>
      </c>
      <c r="B144">
        <v>7.1281999999999997E-4</v>
      </c>
    </row>
    <row r="145" spans="1:2" x14ac:dyDescent="0.25">
      <c r="A145" s="6">
        <v>36007</v>
      </c>
      <c r="B145">
        <v>7.115E-4</v>
      </c>
    </row>
    <row r="146" spans="1:2" x14ac:dyDescent="0.25">
      <c r="A146" s="6">
        <v>36010</v>
      </c>
      <c r="B146">
        <v>7.1016999999999999E-4</v>
      </c>
    </row>
    <row r="147" spans="1:2" x14ac:dyDescent="0.25">
      <c r="A147" s="6">
        <v>36011</v>
      </c>
      <c r="B147">
        <v>7.0884000000000008E-4</v>
      </c>
    </row>
    <row r="148" spans="1:2" x14ac:dyDescent="0.25">
      <c r="A148" s="6">
        <v>36012</v>
      </c>
      <c r="B148">
        <v>7.0684999999999997E-4</v>
      </c>
    </row>
    <row r="149" spans="1:2" x14ac:dyDescent="0.25">
      <c r="A149" s="6">
        <v>36013</v>
      </c>
      <c r="B149">
        <v>7.0552000000000006E-4</v>
      </c>
    </row>
    <row r="150" spans="1:2" x14ac:dyDescent="0.25">
      <c r="A150" s="6">
        <v>36014</v>
      </c>
      <c r="B150">
        <v>7.0352000000000001E-4</v>
      </c>
    </row>
    <row r="151" spans="1:2" x14ac:dyDescent="0.25">
      <c r="A151" s="6">
        <v>36017</v>
      </c>
      <c r="B151">
        <v>7.0219E-4</v>
      </c>
    </row>
    <row r="152" spans="1:2" x14ac:dyDescent="0.25">
      <c r="A152" s="6">
        <v>36018</v>
      </c>
      <c r="B152">
        <v>7.0018999999999995E-4</v>
      </c>
    </row>
    <row r="153" spans="1:2" x14ac:dyDescent="0.25">
      <c r="A153" s="6">
        <v>36019</v>
      </c>
      <c r="B153">
        <v>6.9886000000000004E-4</v>
      </c>
    </row>
    <row r="154" spans="1:2" x14ac:dyDescent="0.25">
      <c r="A154" s="6">
        <v>36020</v>
      </c>
      <c r="B154">
        <v>6.9852999999999994E-4</v>
      </c>
    </row>
    <row r="155" spans="1:2" x14ac:dyDescent="0.25">
      <c r="A155" s="6">
        <v>36021</v>
      </c>
      <c r="B155">
        <v>6.9720000000000003E-4</v>
      </c>
    </row>
    <row r="156" spans="1:2" x14ac:dyDescent="0.25">
      <c r="A156" s="6">
        <v>36024</v>
      </c>
      <c r="B156">
        <v>6.9653000000000011E-4</v>
      </c>
    </row>
    <row r="157" spans="1:2" x14ac:dyDescent="0.25">
      <c r="A157" s="6">
        <v>36025</v>
      </c>
      <c r="B157">
        <v>6.9620000000000001E-4</v>
      </c>
    </row>
    <row r="158" spans="1:2" x14ac:dyDescent="0.25">
      <c r="A158" s="6">
        <v>36026</v>
      </c>
      <c r="B158">
        <v>6.9553000000000008E-4</v>
      </c>
    </row>
    <row r="159" spans="1:2" x14ac:dyDescent="0.25">
      <c r="A159" s="6">
        <v>36027</v>
      </c>
      <c r="B159">
        <v>6.9519999999999998E-4</v>
      </c>
    </row>
    <row r="160" spans="1:2" x14ac:dyDescent="0.25">
      <c r="A160" s="6">
        <v>36028</v>
      </c>
      <c r="B160">
        <v>6.9386000000000003E-4</v>
      </c>
    </row>
    <row r="161" spans="1:2" x14ac:dyDescent="0.25">
      <c r="A161" s="6">
        <v>36031</v>
      </c>
      <c r="B161">
        <v>6.9352999999999993E-4</v>
      </c>
    </row>
    <row r="162" spans="1:2" x14ac:dyDescent="0.25">
      <c r="A162" s="6">
        <v>36032</v>
      </c>
      <c r="B162">
        <v>6.9286E-4</v>
      </c>
    </row>
    <row r="163" spans="1:2" x14ac:dyDescent="0.25">
      <c r="A163" s="6">
        <v>36033</v>
      </c>
      <c r="B163">
        <v>6.9220000000000002E-4</v>
      </c>
    </row>
    <row r="164" spans="1:2" x14ac:dyDescent="0.25">
      <c r="A164" s="6">
        <v>36034</v>
      </c>
      <c r="B164">
        <v>6.912E-4</v>
      </c>
    </row>
    <row r="165" spans="1:2" x14ac:dyDescent="0.25">
      <c r="A165" s="6">
        <v>36035</v>
      </c>
      <c r="B165">
        <v>6.9085999999999996E-4</v>
      </c>
    </row>
    <row r="166" spans="1:2" x14ac:dyDescent="0.25">
      <c r="A166" s="6">
        <v>36038</v>
      </c>
      <c r="B166">
        <v>6.9053000000000007E-4</v>
      </c>
    </row>
    <row r="167" spans="1:2" x14ac:dyDescent="0.25">
      <c r="A167" s="6">
        <v>36039</v>
      </c>
      <c r="B167">
        <v>6.9320000000000004E-4</v>
      </c>
    </row>
    <row r="168" spans="1:2" x14ac:dyDescent="0.25">
      <c r="A168" s="6">
        <v>36040</v>
      </c>
      <c r="B168">
        <v>6.9419999999999996E-4</v>
      </c>
    </row>
    <row r="169" spans="1:2" x14ac:dyDescent="0.25">
      <c r="A169" s="6">
        <v>36041</v>
      </c>
      <c r="B169">
        <v>6.9519999999999998E-4</v>
      </c>
    </row>
    <row r="170" spans="1:2" x14ac:dyDescent="0.25">
      <c r="A170" s="6">
        <v>36042</v>
      </c>
      <c r="B170">
        <v>6.9720000000000003E-4</v>
      </c>
    </row>
    <row r="171" spans="1:2" x14ac:dyDescent="0.25">
      <c r="A171" s="6">
        <v>36046</v>
      </c>
      <c r="B171">
        <v>1.0376999999999999E-3</v>
      </c>
    </row>
    <row r="172" spans="1:2" x14ac:dyDescent="0.25">
      <c r="A172" s="6">
        <v>36047</v>
      </c>
      <c r="B172">
        <v>1.0432E-3</v>
      </c>
    </row>
    <row r="173" spans="1:2" x14ac:dyDescent="0.25">
      <c r="A173" s="6">
        <v>36048</v>
      </c>
      <c r="B173">
        <v>1.03341E-3</v>
      </c>
    </row>
    <row r="174" spans="1:2" x14ac:dyDescent="0.25">
      <c r="A174" s="6">
        <v>36049</v>
      </c>
      <c r="B174">
        <v>1.3298499999999998E-3</v>
      </c>
    </row>
    <row r="175" spans="1:2" x14ac:dyDescent="0.25">
      <c r="A175" s="6">
        <v>36052</v>
      </c>
      <c r="B175">
        <v>1.32928E-3</v>
      </c>
    </row>
    <row r="176" spans="1:2" x14ac:dyDescent="0.25">
      <c r="A176" s="6">
        <v>36053</v>
      </c>
      <c r="B176">
        <v>1.3289999999999999E-3</v>
      </c>
    </row>
    <row r="177" spans="1:2" x14ac:dyDescent="0.25">
      <c r="A177" s="6">
        <v>36054</v>
      </c>
      <c r="B177">
        <v>1.3289999999999999E-3</v>
      </c>
    </row>
    <row r="178" spans="1:2" x14ac:dyDescent="0.25">
      <c r="A178" s="6">
        <v>36055</v>
      </c>
      <c r="B178">
        <v>1.3289999999999999E-3</v>
      </c>
    </row>
    <row r="179" spans="1:2" x14ac:dyDescent="0.25">
      <c r="A179" s="6">
        <v>36056</v>
      </c>
      <c r="B179">
        <v>1.3284299999999998E-3</v>
      </c>
    </row>
    <row r="180" spans="1:2" x14ac:dyDescent="0.25">
      <c r="A180" s="6">
        <v>36059</v>
      </c>
      <c r="B180">
        <v>1.3301299999999999E-3</v>
      </c>
    </row>
    <row r="181" spans="1:2" x14ac:dyDescent="0.25">
      <c r="A181" s="6">
        <v>36060</v>
      </c>
      <c r="B181">
        <v>1.3329800000000001E-3</v>
      </c>
    </row>
    <row r="182" spans="1:2" x14ac:dyDescent="0.25">
      <c r="A182" s="6">
        <v>36061</v>
      </c>
      <c r="B182">
        <v>1.3383700000000002E-3</v>
      </c>
    </row>
    <row r="183" spans="1:2" x14ac:dyDescent="0.25">
      <c r="A183" s="6">
        <v>36062</v>
      </c>
      <c r="B183">
        <v>1.3349600000000001E-3</v>
      </c>
    </row>
    <row r="184" spans="1:2" x14ac:dyDescent="0.25">
      <c r="A184" s="6">
        <v>36063</v>
      </c>
      <c r="B184">
        <v>1.3397899999999998E-3</v>
      </c>
    </row>
    <row r="185" spans="1:2" x14ac:dyDescent="0.25">
      <c r="A185" s="6">
        <v>36066</v>
      </c>
      <c r="B185">
        <v>1.34347E-3</v>
      </c>
    </row>
    <row r="186" spans="1:2" x14ac:dyDescent="0.25">
      <c r="A186" s="6">
        <v>36067</v>
      </c>
      <c r="B186">
        <v>1.3471500000000001E-3</v>
      </c>
    </row>
    <row r="187" spans="1:2" x14ac:dyDescent="0.25">
      <c r="A187" s="6">
        <v>36068</v>
      </c>
      <c r="B187">
        <v>1.35027E-3</v>
      </c>
    </row>
    <row r="188" spans="1:2" x14ac:dyDescent="0.25">
      <c r="A188" s="6">
        <v>36069</v>
      </c>
      <c r="B188">
        <v>1.3530900000000002E-3</v>
      </c>
    </row>
    <row r="189" spans="1:2" x14ac:dyDescent="0.25">
      <c r="A189" s="6">
        <v>36070</v>
      </c>
      <c r="B189">
        <v>1.3559199999999998E-3</v>
      </c>
    </row>
    <row r="190" spans="1:2" x14ac:dyDescent="0.25">
      <c r="A190" s="6">
        <v>36073</v>
      </c>
      <c r="B190">
        <v>1.35874E-3</v>
      </c>
    </row>
    <row r="191" spans="1:2" x14ac:dyDescent="0.25">
      <c r="A191" s="6">
        <v>36074</v>
      </c>
      <c r="B191">
        <v>1.3615599999999999E-3</v>
      </c>
    </row>
    <row r="192" spans="1:2" x14ac:dyDescent="0.25">
      <c r="A192" s="6">
        <v>36075</v>
      </c>
      <c r="B192">
        <v>1.3641E-3</v>
      </c>
    </row>
    <row r="193" spans="1:2" x14ac:dyDescent="0.25">
      <c r="A193" s="6">
        <v>36076</v>
      </c>
      <c r="B193">
        <v>1.3672000000000001E-3</v>
      </c>
    </row>
    <row r="194" spans="1:2" x14ac:dyDescent="0.25">
      <c r="A194" s="6">
        <v>36077</v>
      </c>
      <c r="B194">
        <v>1.3697300000000002E-3</v>
      </c>
    </row>
    <row r="195" spans="1:2" x14ac:dyDescent="0.25">
      <c r="A195" s="6">
        <v>36081</v>
      </c>
      <c r="B195">
        <v>1.3728299999999998E-3</v>
      </c>
    </row>
    <row r="196" spans="1:2" x14ac:dyDescent="0.25">
      <c r="A196" s="6">
        <v>36082</v>
      </c>
      <c r="B196">
        <v>1.37564E-3</v>
      </c>
    </row>
    <row r="197" spans="1:2" x14ac:dyDescent="0.25">
      <c r="A197" s="6">
        <v>36083</v>
      </c>
      <c r="B197">
        <v>1.37845E-3</v>
      </c>
    </row>
    <row r="198" spans="1:2" x14ac:dyDescent="0.25">
      <c r="A198" s="6">
        <v>36084</v>
      </c>
      <c r="B198">
        <v>1.38097E-3</v>
      </c>
    </row>
    <row r="199" spans="1:2" x14ac:dyDescent="0.25">
      <c r="A199" s="6">
        <v>36087</v>
      </c>
      <c r="B199">
        <v>1.3840600000000001E-3</v>
      </c>
    </row>
    <row r="200" spans="1:2" x14ac:dyDescent="0.25">
      <c r="A200" s="6">
        <v>36088</v>
      </c>
      <c r="B200">
        <v>1.38686E-3</v>
      </c>
    </row>
    <row r="201" spans="1:2" x14ac:dyDescent="0.25">
      <c r="A201" s="6">
        <v>36089</v>
      </c>
      <c r="B201">
        <v>1.38966E-3</v>
      </c>
    </row>
    <row r="202" spans="1:2" x14ac:dyDescent="0.25">
      <c r="A202" s="6">
        <v>36090</v>
      </c>
      <c r="B202">
        <v>1.3924600000000001E-3</v>
      </c>
    </row>
    <row r="203" spans="1:2" x14ac:dyDescent="0.25">
      <c r="A203" s="6">
        <v>36091</v>
      </c>
      <c r="B203">
        <v>1.39554E-3</v>
      </c>
    </row>
    <row r="204" spans="1:2" x14ac:dyDescent="0.25">
      <c r="A204" s="6">
        <v>36094</v>
      </c>
      <c r="B204">
        <v>1.3980600000000002E-3</v>
      </c>
    </row>
    <row r="205" spans="1:2" x14ac:dyDescent="0.25">
      <c r="A205" s="6">
        <v>36095</v>
      </c>
      <c r="B205">
        <v>1.4008499999999999E-3</v>
      </c>
    </row>
    <row r="206" spans="1:2" x14ac:dyDescent="0.25">
      <c r="A206" s="6">
        <v>36096</v>
      </c>
      <c r="B206">
        <v>1.40336E-3</v>
      </c>
    </row>
    <row r="207" spans="1:2" x14ac:dyDescent="0.25">
      <c r="A207" s="6">
        <v>36097</v>
      </c>
      <c r="B207">
        <v>1.40643E-3</v>
      </c>
    </row>
    <row r="208" spans="1:2" x14ac:dyDescent="0.25">
      <c r="A208" s="6">
        <v>36098</v>
      </c>
      <c r="B208">
        <v>1.4092199999999999E-3</v>
      </c>
    </row>
    <row r="209" spans="1:2" x14ac:dyDescent="0.25">
      <c r="A209" s="6">
        <v>36102</v>
      </c>
      <c r="B209">
        <v>1.41201E-3</v>
      </c>
    </row>
    <row r="210" spans="1:2" x14ac:dyDescent="0.25">
      <c r="A210" s="6">
        <v>36103</v>
      </c>
      <c r="B210">
        <v>1.4131199999999999E-3</v>
      </c>
    </row>
    <row r="211" spans="1:2" x14ac:dyDescent="0.25">
      <c r="A211" s="6">
        <v>36104</v>
      </c>
      <c r="B211">
        <v>1.4128399999999998E-3</v>
      </c>
    </row>
    <row r="212" spans="1:2" x14ac:dyDescent="0.25">
      <c r="A212" s="6">
        <v>36105</v>
      </c>
      <c r="B212">
        <v>1.41256E-3</v>
      </c>
    </row>
    <row r="213" spans="1:2" x14ac:dyDescent="0.25">
      <c r="A213" s="6">
        <v>36108</v>
      </c>
      <c r="B213">
        <v>1.4131199999999999E-3</v>
      </c>
    </row>
    <row r="214" spans="1:2" x14ac:dyDescent="0.25">
      <c r="A214" s="6">
        <v>36109</v>
      </c>
      <c r="B214">
        <v>1.4134E-3</v>
      </c>
    </row>
    <row r="215" spans="1:2" x14ac:dyDescent="0.25">
      <c r="A215" s="6">
        <v>36110</v>
      </c>
      <c r="B215">
        <v>1.4131199999999999E-3</v>
      </c>
    </row>
    <row r="216" spans="1:2" x14ac:dyDescent="0.25">
      <c r="A216" s="6">
        <v>36111</v>
      </c>
      <c r="B216">
        <v>1.3235900000000001E-3</v>
      </c>
    </row>
    <row r="217" spans="1:2" x14ac:dyDescent="0.25">
      <c r="A217" s="6">
        <v>36112</v>
      </c>
      <c r="B217">
        <v>1.3073299999999998E-3</v>
      </c>
    </row>
    <row r="218" spans="1:2" x14ac:dyDescent="0.25">
      <c r="A218" s="6">
        <v>36115</v>
      </c>
      <c r="B218">
        <v>1.2933E-3</v>
      </c>
    </row>
    <row r="219" spans="1:2" x14ac:dyDescent="0.25">
      <c r="A219" s="6">
        <v>36116</v>
      </c>
      <c r="B219">
        <v>1.2789300000000002E-3</v>
      </c>
    </row>
    <row r="220" spans="1:2" x14ac:dyDescent="0.25">
      <c r="A220" s="6">
        <v>36117</v>
      </c>
      <c r="B220">
        <v>1.2645E-3</v>
      </c>
    </row>
    <row r="221" spans="1:2" x14ac:dyDescent="0.25">
      <c r="A221" s="6">
        <v>36118</v>
      </c>
      <c r="B221">
        <v>1.2500300000000001E-3</v>
      </c>
    </row>
    <row r="222" spans="1:2" x14ac:dyDescent="0.25">
      <c r="A222" s="6">
        <v>36119</v>
      </c>
      <c r="B222">
        <v>1.2357899999999998E-3</v>
      </c>
    </row>
    <row r="223" spans="1:2" x14ac:dyDescent="0.25">
      <c r="A223" s="6">
        <v>36122</v>
      </c>
      <c r="B223">
        <v>1.2209200000000001E-3</v>
      </c>
    </row>
    <row r="224" spans="1:2" x14ac:dyDescent="0.25">
      <c r="A224" s="6">
        <v>36123</v>
      </c>
      <c r="B224">
        <v>1.2062900000000001E-3</v>
      </c>
    </row>
    <row r="225" spans="1:2" x14ac:dyDescent="0.25">
      <c r="A225" s="6">
        <v>36124</v>
      </c>
      <c r="B225">
        <v>1.1916000000000001E-3</v>
      </c>
    </row>
    <row r="226" spans="1:2" x14ac:dyDescent="0.25">
      <c r="A226" s="6">
        <v>36125</v>
      </c>
      <c r="B226">
        <v>1.18217E-3</v>
      </c>
    </row>
    <row r="227" spans="1:2" x14ac:dyDescent="0.25">
      <c r="A227" s="6">
        <v>36126</v>
      </c>
      <c r="B227">
        <v>1.1795200000000001E-3</v>
      </c>
    </row>
    <row r="228" spans="1:2" x14ac:dyDescent="0.25">
      <c r="A228" s="6">
        <v>36129</v>
      </c>
      <c r="B228">
        <v>1.1738999999999999E-3</v>
      </c>
    </row>
    <row r="229" spans="1:2" x14ac:dyDescent="0.25">
      <c r="A229" s="6">
        <v>36130</v>
      </c>
      <c r="B229">
        <v>1.16799E-3</v>
      </c>
    </row>
    <row r="230" spans="1:2" x14ac:dyDescent="0.25">
      <c r="A230" s="6">
        <v>36131</v>
      </c>
      <c r="B230">
        <v>1.1620600000000001E-3</v>
      </c>
    </row>
    <row r="231" spans="1:2" x14ac:dyDescent="0.25">
      <c r="A231" s="6">
        <v>36132</v>
      </c>
      <c r="B231">
        <v>1.15613E-3</v>
      </c>
    </row>
    <row r="232" spans="1:2" x14ac:dyDescent="0.25">
      <c r="A232" s="6">
        <v>36133</v>
      </c>
      <c r="B232">
        <v>1.1501899999999999E-3</v>
      </c>
    </row>
    <row r="233" spans="1:2" x14ac:dyDescent="0.25">
      <c r="A233" s="6">
        <v>36136</v>
      </c>
      <c r="B233">
        <v>1.14423E-3</v>
      </c>
    </row>
    <row r="234" spans="1:2" x14ac:dyDescent="0.25">
      <c r="A234" s="6">
        <v>36137</v>
      </c>
      <c r="B234">
        <v>1.13827E-3</v>
      </c>
    </row>
    <row r="235" spans="1:2" x14ac:dyDescent="0.25">
      <c r="A235" s="6">
        <v>36138</v>
      </c>
      <c r="B235">
        <v>1.1322999999999999E-3</v>
      </c>
    </row>
    <row r="236" spans="1:2" x14ac:dyDescent="0.25">
      <c r="A236" s="6">
        <v>36139</v>
      </c>
      <c r="B236">
        <v>1.13171E-3</v>
      </c>
    </row>
    <row r="237" spans="1:2" x14ac:dyDescent="0.25">
      <c r="A237" s="6">
        <v>36140</v>
      </c>
      <c r="B237">
        <v>1.1212399999999999E-3</v>
      </c>
    </row>
    <row r="238" spans="1:2" x14ac:dyDescent="0.25">
      <c r="A238" s="6">
        <v>36143</v>
      </c>
      <c r="B238">
        <v>1.1143400000000001E-3</v>
      </c>
    </row>
    <row r="239" spans="1:2" x14ac:dyDescent="0.25">
      <c r="A239" s="6">
        <v>36144</v>
      </c>
      <c r="B239">
        <v>1.1086400000000001E-3</v>
      </c>
    </row>
    <row r="240" spans="1:2" x14ac:dyDescent="0.25">
      <c r="A240" s="6">
        <v>36145</v>
      </c>
      <c r="B240">
        <v>1.1026199999999999E-3</v>
      </c>
    </row>
    <row r="241" spans="1:2" x14ac:dyDescent="0.25">
      <c r="A241" s="6">
        <v>36146</v>
      </c>
      <c r="B241">
        <v>1.0223699999999999E-3</v>
      </c>
    </row>
    <row r="242" spans="1:2" x14ac:dyDescent="0.25">
      <c r="A242" s="6">
        <v>36147</v>
      </c>
      <c r="B242">
        <v>1.0214499999999999E-3</v>
      </c>
    </row>
    <row r="243" spans="1:2" x14ac:dyDescent="0.25">
      <c r="A243" s="6">
        <v>36150</v>
      </c>
      <c r="B243">
        <v>1.01161E-3</v>
      </c>
    </row>
    <row r="244" spans="1:2" x14ac:dyDescent="0.25">
      <c r="A244" s="6">
        <v>36151</v>
      </c>
      <c r="B244">
        <v>1.00976E-3</v>
      </c>
    </row>
    <row r="245" spans="1:2" x14ac:dyDescent="0.25">
      <c r="A245" s="6">
        <v>36152</v>
      </c>
      <c r="B245">
        <v>1.00976E-3</v>
      </c>
    </row>
    <row r="246" spans="1:2" x14ac:dyDescent="0.25">
      <c r="A246" s="6">
        <v>36153</v>
      </c>
      <c r="B246">
        <v>1.00976E-3</v>
      </c>
    </row>
    <row r="247" spans="1:2" x14ac:dyDescent="0.25">
      <c r="A247" s="6">
        <v>36157</v>
      </c>
      <c r="B247">
        <v>1.00607E-3</v>
      </c>
    </row>
    <row r="248" spans="1:2" x14ac:dyDescent="0.25">
      <c r="A248" s="6">
        <v>36158</v>
      </c>
      <c r="B248">
        <v>1.0045200000000001E-3</v>
      </c>
    </row>
    <row r="249" spans="1:2" x14ac:dyDescent="0.25">
      <c r="A249" s="6">
        <v>36159</v>
      </c>
      <c r="B249">
        <v>1.00976E-3</v>
      </c>
    </row>
    <row r="250" spans="1:2" x14ac:dyDescent="0.25">
      <c r="A250" s="6">
        <v>36160</v>
      </c>
      <c r="B250">
        <v>1.00976E-3</v>
      </c>
    </row>
    <row r="251" spans="1:2" x14ac:dyDescent="0.25">
      <c r="A251" s="6">
        <v>36164</v>
      </c>
      <c r="B251">
        <v>1.01223E-3</v>
      </c>
    </row>
    <row r="252" spans="1:2" x14ac:dyDescent="0.25">
      <c r="A252" s="6">
        <v>36165</v>
      </c>
      <c r="B252">
        <v>1.00884E-3</v>
      </c>
    </row>
    <row r="253" spans="1:2" x14ac:dyDescent="0.25">
      <c r="A253" s="6">
        <v>36166</v>
      </c>
      <c r="B253">
        <v>1.0091500000000001E-3</v>
      </c>
    </row>
    <row r="254" spans="1:2" x14ac:dyDescent="0.25">
      <c r="A254" s="6">
        <v>36167</v>
      </c>
      <c r="B254">
        <v>1.0112999999999999E-3</v>
      </c>
    </row>
    <row r="255" spans="1:2" x14ac:dyDescent="0.25">
      <c r="A255" s="6">
        <v>36168</v>
      </c>
      <c r="B255">
        <v>1.0150000000000001E-3</v>
      </c>
    </row>
    <row r="256" spans="1:2" x14ac:dyDescent="0.25">
      <c r="A256" s="6">
        <v>36171</v>
      </c>
      <c r="B256">
        <v>1.0214499999999999E-3</v>
      </c>
    </row>
    <row r="257" spans="1:2" x14ac:dyDescent="0.25">
      <c r="A257" s="6">
        <v>36172</v>
      </c>
      <c r="B257">
        <v>1.02114E-3</v>
      </c>
    </row>
    <row r="258" spans="1:2" x14ac:dyDescent="0.25">
      <c r="A258" s="6">
        <v>36173</v>
      </c>
      <c r="B258">
        <v>1.03586E-3</v>
      </c>
    </row>
    <row r="259" spans="1:2" x14ac:dyDescent="0.25">
      <c r="A259" s="6">
        <v>36174</v>
      </c>
      <c r="B259">
        <v>1.0364700000000001E-3</v>
      </c>
    </row>
    <row r="260" spans="1:2" x14ac:dyDescent="0.25">
      <c r="A260" s="6">
        <v>36175</v>
      </c>
      <c r="B260">
        <v>1.0444199999999999E-3</v>
      </c>
    </row>
    <row r="261" spans="1:2" x14ac:dyDescent="0.25">
      <c r="A261" s="6">
        <v>36178</v>
      </c>
      <c r="B261">
        <v>1.0370799999999999E-3</v>
      </c>
    </row>
    <row r="262" spans="1:2" x14ac:dyDescent="0.25">
      <c r="A262" s="6">
        <v>36179</v>
      </c>
      <c r="B262">
        <v>1.10322E-3</v>
      </c>
    </row>
    <row r="263" spans="1:2" x14ac:dyDescent="0.25">
      <c r="A263" s="6">
        <v>36180</v>
      </c>
      <c r="B263">
        <v>1.10743E-3</v>
      </c>
    </row>
    <row r="264" spans="1:2" x14ac:dyDescent="0.25">
      <c r="A264" s="6">
        <v>36181</v>
      </c>
      <c r="B264">
        <v>1.132E-3</v>
      </c>
    </row>
    <row r="265" spans="1:2" x14ac:dyDescent="0.25">
      <c r="A265" s="6">
        <v>36182</v>
      </c>
      <c r="B265">
        <v>1.11674E-3</v>
      </c>
    </row>
    <row r="266" spans="1:2" x14ac:dyDescent="0.25">
      <c r="A266" s="6">
        <v>36185</v>
      </c>
      <c r="B266">
        <v>1.11644E-3</v>
      </c>
    </row>
    <row r="267" spans="1:2" x14ac:dyDescent="0.25">
      <c r="A267" s="6">
        <v>36186</v>
      </c>
      <c r="B267">
        <v>1.11674E-3</v>
      </c>
    </row>
    <row r="268" spans="1:2" x14ac:dyDescent="0.25">
      <c r="A268" s="6">
        <v>36187</v>
      </c>
      <c r="B268">
        <v>1.1579100000000001E-3</v>
      </c>
    </row>
    <row r="269" spans="1:2" x14ac:dyDescent="0.25">
      <c r="A269" s="6">
        <v>36188</v>
      </c>
      <c r="B269">
        <v>1.2056999999999999E-3</v>
      </c>
    </row>
    <row r="270" spans="1:2" x14ac:dyDescent="0.25">
      <c r="A270" s="6">
        <v>36189</v>
      </c>
      <c r="B270">
        <v>1.24829E-3</v>
      </c>
    </row>
    <row r="271" spans="1:2" x14ac:dyDescent="0.25">
      <c r="A271" s="6">
        <v>36192</v>
      </c>
      <c r="B271">
        <v>1.3016099999999999E-3</v>
      </c>
    </row>
    <row r="272" spans="1:2" x14ac:dyDescent="0.25">
      <c r="A272" s="6">
        <v>36193</v>
      </c>
      <c r="B272">
        <v>1.3067599999999999E-3</v>
      </c>
    </row>
    <row r="273" spans="1:2" x14ac:dyDescent="0.25">
      <c r="A273" s="6">
        <v>36194</v>
      </c>
      <c r="B273">
        <v>1.3073299999999998E-3</v>
      </c>
    </row>
    <row r="274" spans="1:2" x14ac:dyDescent="0.25">
      <c r="A274" s="6">
        <v>36195</v>
      </c>
      <c r="B274">
        <v>1.3073299999999998E-3</v>
      </c>
    </row>
    <row r="275" spans="1:2" x14ac:dyDescent="0.25">
      <c r="A275" s="6">
        <v>36196</v>
      </c>
      <c r="B275">
        <v>1.3073299999999998E-3</v>
      </c>
    </row>
    <row r="276" spans="1:2" x14ac:dyDescent="0.25">
      <c r="A276" s="6">
        <v>36199</v>
      </c>
      <c r="B276">
        <v>1.3073299999999998E-3</v>
      </c>
    </row>
    <row r="277" spans="1:2" x14ac:dyDescent="0.25">
      <c r="A277" s="6">
        <v>36200</v>
      </c>
      <c r="B277">
        <v>1.3073299999999998E-3</v>
      </c>
    </row>
    <row r="278" spans="1:2" x14ac:dyDescent="0.25">
      <c r="A278" s="6">
        <v>36201</v>
      </c>
      <c r="B278">
        <v>1.3073299999999998E-3</v>
      </c>
    </row>
    <row r="279" spans="1:2" x14ac:dyDescent="0.25">
      <c r="A279" s="6">
        <v>36202</v>
      </c>
      <c r="B279">
        <v>1.3073299999999998E-3</v>
      </c>
    </row>
    <row r="280" spans="1:2" x14ac:dyDescent="0.25">
      <c r="A280" s="6">
        <v>36203</v>
      </c>
      <c r="B280">
        <v>1.3076199999999998E-3</v>
      </c>
    </row>
    <row r="281" spans="1:2" x14ac:dyDescent="0.25">
      <c r="A281" s="6">
        <v>36208</v>
      </c>
      <c r="B281">
        <v>1.3073299999999998E-3</v>
      </c>
    </row>
    <row r="282" spans="1:2" x14ac:dyDescent="0.25">
      <c r="A282" s="6">
        <v>36209</v>
      </c>
      <c r="B282">
        <v>1.3073299999999998E-3</v>
      </c>
    </row>
    <row r="283" spans="1:2" x14ac:dyDescent="0.25">
      <c r="A283" s="6">
        <v>36210</v>
      </c>
      <c r="B283">
        <v>1.3073299999999998E-3</v>
      </c>
    </row>
    <row r="284" spans="1:2" x14ac:dyDescent="0.25">
      <c r="A284" s="6">
        <v>36213</v>
      </c>
      <c r="B284">
        <v>1.30561E-3</v>
      </c>
    </row>
    <row r="285" spans="1:2" x14ac:dyDescent="0.25">
      <c r="A285" s="6">
        <v>36214</v>
      </c>
      <c r="B285">
        <v>1.3070399999999998E-3</v>
      </c>
    </row>
    <row r="286" spans="1:2" x14ac:dyDescent="0.25">
      <c r="A286" s="6">
        <v>36215</v>
      </c>
      <c r="B286">
        <v>1.3076199999999998E-3</v>
      </c>
    </row>
    <row r="287" spans="1:2" x14ac:dyDescent="0.25">
      <c r="A287" s="6">
        <v>36216</v>
      </c>
      <c r="B287">
        <v>1.3067599999999999E-3</v>
      </c>
    </row>
    <row r="288" spans="1:2" x14ac:dyDescent="0.25">
      <c r="A288" s="6">
        <v>36217</v>
      </c>
      <c r="B288">
        <v>1.3076199999999998E-3</v>
      </c>
    </row>
    <row r="289" spans="1:2" x14ac:dyDescent="0.25">
      <c r="A289" s="6">
        <v>36220</v>
      </c>
      <c r="B289">
        <v>1.3070399999999998E-3</v>
      </c>
    </row>
    <row r="290" spans="1:2" x14ac:dyDescent="0.25">
      <c r="A290" s="6">
        <v>36221</v>
      </c>
      <c r="B290">
        <v>1.3070399999999998E-3</v>
      </c>
    </row>
    <row r="291" spans="1:2" x14ac:dyDescent="0.25">
      <c r="A291" s="6">
        <v>36222</v>
      </c>
      <c r="B291">
        <v>1.3076199999999998E-3</v>
      </c>
    </row>
    <row r="292" spans="1:2" x14ac:dyDescent="0.25">
      <c r="A292" s="6">
        <v>36223</v>
      </c>
      <c r="B292">
        <v>1.3067599999999999E-3</v>
      </c>
    </row>
    <row r="293" spans="1:2" x14ac:dyDescent="0.25">
      <c r="A293" s="6">
        <v>36224</v>
      </c>
      <c r="B293">
        <v>1.47335E-3</v>
      </c>
    </row>
    <row r="294" spans="1:2" x14ac:dyDescent="0.25">
      <c r="A294" s="6">
        <v>36227</v>
      </c>
      <c r="B294">
        <v>1.4747199999999999E-3</v>
      </c>
    </row>
    <row r="295" spans="1:2" x14ac:dyDescent="0.25">
      <c r="A295" s="6">
        <v>36228</v>
      </c>
      <c r="B295">
        <v>1.47116E-3</v>
      </c>
    </row>
    <row r="296" spans="1:2" x14ac:dyDescent="0.25">
      <c r="A296" s="6">
        <v>36229</v>
      </c>
      <c r="B296">
        <v>1.4730799999999999E-3</v>
      </c>
    </row>
    <row r="297" spans="1:2" x14ac:dyDescent="0.25">
      <c r="A297" s="6">
        <v>36230</v>
      </c>
      <c r="B297">
        <v>1.4747199999999999E-3</v>
      </c>
    </row>
    <row r="298" spans="1:2" x14ac:dyDescent="0.25">
      <c r="A298" s="6">
        <v>36231</v>
      </c>
      <c r="B298">
        <v>1.47445E-3</v>
      </c>
    </row>
    <row r="299" spans="1:2" x14ac:dyDescent="0.25">
      <c r="A299" s="6">
        <v>36234</v>
      </c>
      <c r="B299">
        <v>1.47445E-3</v>
      </c>
    </row>
    <row r="300" spans="1:2" x14ac:dyDescent="0.25">
      <c r="A300" s="6">
        <v>36235</v>
      </c>
      <c r="B300">
        <v>1.47445E-3</v>
      </c>
    </row>
    <row r="301" spans="1:2" x14ac:dyDescent="0.25">
      <c r="A301" s="6">
        <v>36236</v>
      </c>
      <c r="B301">
        <v>1.47445E-3</v>
      </c>
    </row>
    <row r="302" spans="1:2" x14ac:dyDescent="0.25">
      <c r="A302" s="6">
        <v>36237</v>
      </c>
      <c r="B302">
        <v>1.47445E-3</v>
      </c>
    </row>
    <row r="303" spans="1:2" x14ac:dyDescent="0.25">
      <c r="A303" s="6">
        <v>36238</v>
      </c>
      <c r="B303">
        <v>1.4752699999999999E-3</v>
      </c>
    </row>
    <row r="304" spans="1:2" x14ac:dyDescent="0.25">
      <c r="A304" s="6">
        <v>36241</v>
      </c>
      <c r="B304">
        <v>1.475E-3</v>
      </c>
    </row>
    <row r="305" spans="1:2" x14ac:dyDescent="0.25">
      <c r="A305" s="6">
        <v>36242</v>
      </c>
      <c r="B305">
        <v>1.4741799999999998E-3</v>
      </c>
    </row>
    <row r="306" spans="1:2" x14ac:dyDescent="0.25">
      <c r="A306" s="6">
        <v>36243</v>
      </c>
      <c r="B306">
        <v>1.4739E-3</v>
      </c>
    </row>
    <row r="307" spans="1:2" x14ac:dyDescent="0.25">
      <c r="A307" s="6">
        <v>36244</v>
      </c>
      <c r="B307">
        <v>1.39134E-3</v>
      </c>
    </row>
    <row r="308" spans="1:2" x14ac:dyDescent="0.25">
      <c r="A308" s="6">
        <v>36245</v>
      </c>
      <c r="B308">
        <v>1.39302E-3</v>
      </c>
    </row>
    <row r="309" spans="1:2" x14ac:dyDescent="0.25">
      <c r="A309" s="6">
        <v>36248</v>
      </c>
      <c r="B309">
        <v>1.39218E-3</v>
      </c>
    </row>
    <row r="310" spans="1:2" x14ac:dyDescent="0.25">
      <c r="A310" s="6">
        <v>36249</v>
      </c>
      <c r="B310">
        <v>1.3916200000000001E-3</v>
      </c>
    </row>
    <row r="311" spans="1:2" x14ac:dyDescent="0.25">
      <c r="A311" s="6">
        <v>36250</v>
      </c>
      <c r="B311">
        <v>1.3905E-3</v>
      </c>
    </row>
    <row r="312" spans="1:2" x14ac:dyDescent="0.25">
      <c r="A312" s="6">
        <v>36255</v>
      </c>
      <c r="B312">
        <v>1.3899400000000001E-3</v>
      </c>
    </row>
    <row r="313" spans="1:2" x14ac:dyDescent="0.25">
      <c r="A313" s="6">
        <v>36256</v>
      </c>
      <c r="B313">
        <v>1.3210299999999999E-3</v>
      </c>
    </row>
    <row r="314" spans="1:2" x14ac:dyDescent="0.25">
      <c r="A314" s="6">
        <v>36257</v>
      </c>
      <c r="B314">
        <v>1.3201699999999999E-3</v>
      </c>
    </row>
    <row r="315" spans="1:2" x14ac:dyDescent="0.25">
      <c r="A315" s="6">
        <v>36258</v>
      </c>
      <c r="B315">
        <v>1.3201699999999999E-3</v>
      </c>
    </row>
    <row r="316" spans="1:2" x14ac:dyDescent="0.25">
      <c r="A316" s="6">
        <v>36259</v>
      </c>
      <c r="B316">
        <v>1.3196E-3</v>
      </c>
    </row>
    <row r="317" spans="1:2" x14ac:dyDescent="0.25">
      <c r="A317" s="6">
        <v>36262</v>
      </c>
      <c r="B317">
        <v>1.3193199999999999E-3</v>
      </c>
    </row>
    <row r="318" spans="1:2" x14ac:dyDescent="0.25">
      <c r="A318" s="6">
        <v>36263</v>
      </c>
      <c r="B318">
        <v>1.3190299999999999E-3</v>
      </c>
    </row>
    <row r="319" spans="1:2" x14ac:dyDescent="0.25">
      <c r="A319" s="6">
        <v>36264</v>
      </c>
      <c r="B319">
        <v>1.3187499999999998E-3</v>
      </c>
    </row>
    <row r="320" spans="1:2" x14ac:dyDescent="0.25">
      <c r="A320" s="6">
        <v>36265</v>
      </c>
      <c r="B320">
        <v>1.1590999999999999E-3</v>
      </c>
    </row>
    <row r="321" spans="1:2" x14ac:dyDescent="0.25">
      <c r="A321" s="6">
        <v>36266</v>
      </c>
      <c r="B321">
        <v>1.16088E-3</v>
      </c>
    </row>
    <row r="322" spans="1:2" x14ac:dyDescent="0.25">
      <c r="A322" s="6">
        <v>36269</v>
      </c>
      <c r="B322">
        <v>1.1602800000000001E-3</v>
      </c>
    </row>
    <row r="323" spans="1:2" x14ac:dyDescent="0.25">
      <c r="A323" s="6">
        <v>36270</v>
      </c>
      <c r="B323">
        <v>1.1602800000000001E-3</v>
      </c>
    </row>
    <row r="324" spans="1:2" x14ac:dyDescent="0.25">
      <c r="A324" s="6">
        <v>36272</v>
      </c>
      <c r="B324">
        <v>1.1599900000000001E-3</v>
      </c>
    </row>
    <row r="325" spans="1:2" x14ac:dyDescent="0.25">
      <c r="A325" s="6">
        <v>36273</v>
      </c>
      <c r="B325">
        <v>1.1596900000000001E-3</v>
      </c>
    </row>
    <row r="326" spans="1:2" x14ac:dyDescent="0.25">
      <c r="A326" s="6">
        <v>36276</v>
      </c>
      <c r="B326">
        <v>1.1588E-3</v>
      </c>
    </row>
    <row r="327" spans="1:2" x14ac:dyDescent="0.25">
      <c r="A327" s="6">
        <v>36277</v>
      </c>
      <c r="B327">
        <v>1.1588E-3</v>
      </c>
    </row>
    <row r="328" spans="1:2" x14ac:dyDescent="0.25">
      <c r="A328" s="6">
        <v>36278</v>
      </c>
      <c r="B328">
        <v>1.1588E-3</v>
      </c>
    </row>
    <row r="329" spans="1:2" x14ac:dyDescent="0.25">
      <c r="A329" s="6">
        <v>36279</v>
      </c>
      <c r="B329">
        <v>1.1014200000000001E-3</v>
      </c>
    </row>
    <row r="330" spans="1:2" x14ac:dyDescent="0.25">
      <c r="A330" s="6">
        <v>36280</v>
      </c>
      <c r="B330">
        <v>1.1002099999999999E-3</v>
      </c>
    </row>
    <row r="331" spans="1:2" x14ac:dyDescent="0.25">
      <c r="A331" s="6">
        <v>36283</v>
      </c>
      <c r="B331">
        <v>1.09931E-3</v>
      </c>
    </row>
    <row r="332" spans="1:2" x14ac:dyDescent="0.25">
      <c r="A332" s="6">
        <v>36284</v>
      </c>
      <c r="B332">
        <v>1.09991E-3</v>
      </c>
    </row>
    <row r="333" spans="1:2" x14ac:dyDescent="0.25">
      <c r="A333" s="6">
        <v>36285</v>
      </c>
      <c r="B333">
        <v>1.09931E-3</v>
      </c>
    </row>
    <row r="334" spans="1:2" x14ac:dyDescent="0.25">
      <c r="A334" s="6">
        <v>36286</v>
      </c>
      <c r="B334">
        <v>1.0987099999999999E-3</v>
      </c>
    </row>
    <row r="335" spans="1:2" x14ac:dyDescent="0.25">
      <c r="A335" s="6">
        <v>36287</v>
      </c>
      <c r="B335">
        <v>1.09841E-3</v>
      </c>
    </row>
    <row r="336" spans="1:2" x14ac:dyDescent="0.25">
      <c r="A336" s="6">
        <v>36290</v>
      </c>
      <c r="B336">
        <v>1.0315699999999999E-3</v>
      </c>
    </row>
    <row r="337" spans="1:2" x14ac:dyDescent="0.25">
      <c r="A337" s="6">
        <v>36291</v>
      </c>
      <c r="B337">
        <v>1.0251399999999999E-3</v>
      </c>
    </row>
    <row r="338" spans="1:2" x14ac:dyDescent="0.25">
      <c r="A338" s="6">
        <v>36292</v>
      </c>
      <c r="B338">
        <v>1.02483E-3</v>
      </c>
    </row>
    <row r="339" spans="1:2" x14ac:dyDescent="0.25">
      <c r="A339" s="6">
        <v>36293</v>
      </c>
      <c r="B339">
        <v>9.5018000000000001E-4</v>
      </c>
    </row>
    <row r="340" spans="1:2" x14ac:dyDescent="0.25">
      <c r="A340" s="6">
        <v>36294</v>
      </c>
      <c r="B340">
        <v>9.4987000000000001E-4</v>
      </c>
    </row>
    <row r="341" spans="1:2" x14ac:dyDescent="0.25">
      <c r="A341" s="6">
        <v>36297</v>
      </c>
      <c r="B341">
        <v>9.4704999999999995E-4</v>
      </c>
    </row>
    <row r="342" spans="1:2" x14ac:dyDescent="0.25">
      <c r="A342" s="6">
        <v>36298</v>
      </c>
      <c r="B342">
        <v>9.4611000000000001E-4</v>
      </c>
    </row>
    <row r="343" spans="1:2" x14ac:dyDescent="0.25">
      <c r="A343" s="6">
        <v>36299</v>
      </c>
      <c r="B343">
        <v>9.4548999999999989E-4</v>
      </c>
    </row>
    <row r="344" spans="1:2" x14ac:dyDescent="0.25">
      <c r="A344" s="6">
        <v>36300</v>
      </c>
      <c r="B344">
        <v>8.3890000000000006E-4</v>
      </c>
    </row>
    <row r="345" spans="1:2" x14ac:dyDescent="0.25">
      <c r="A345" s="6">
        <v>36301</v>
      </c>
      <c r="B345">
        <v>8.3664999999999998E-4</v>
      </c>
    </row>
    <row r="346" spans="1:2" x14ac:dyDescent="0.25">
      <c r="A346" s="6">
        <v>36304</v>
      </c>
      <c r="B346">
        <v>8.3567999999999999E-4</v>
      </c>
    </row>
    <row r="347" spans="1:2" x14ac:dyDescent="0.25">
      <c r="A347" s="6">
        <v>36305</v>
      </c>
      <c r="B347">
        <v>8.3535999999999994E-4</v>
      </c>
    </row>
    <row r="348" spans="1:2" x14ac:dyDescent="0.25">
      <c r="A348" s="6">
        <v>36306</v>
      </c>
      <c r="B348">
        <v>8.3440000000000001E-4</v>
      </c>
    </row>
    <row r="349" spans="1:2" x14ac:dyDescent="0.25">
      <c r="A349" s="6">
        <v>36307</v>
      </c>
      <c r="B349">
        <v>8.3406999999999991E-4</v>
      </c>
    </row>
    <row r="350" spans="1:2" x14ac:dyDescent="0.25">
      <c r="A350" s="6">
        <v>36308</v>
      </c>
      <c r="B350">
        <v>8.3310999999999997E-4</v>
      </c>
    </row>
    <row r="351" spans="1:2" x14ac:dyDescent="0.25">
      <c r="A351" s="6">
        <v>36311</v>
      </c>
      <c r="B351">
        <v>8.3279000000000003E-4</v>
      </c>
    </row>
    <row r="352" spans="1:2" x14ac:dyDescent="0.25">
      <c r="A352" s="6">
        <v>36312</v>
      </c>
      <c r="B352">
        <v>8.3085000000000006E-4</v>
      </c>
    </row>
    <row r="353" spans="1:2" x14ac:dyDescent="0.25">
      <c r="A353" s="6">
        <v>36313</v>
      </c>
      <c r="B353">
        <v>8.3117999999999994E-4</v>
      </c>
    </row>
    <row r="354" spans="1:2" x14ac:dyDescent="0.25">
      <c r="A354" s="6">
        <v>36315</v>
      </c>
      <c r="B354">
        <v>8.3085000000000006E-4</v>
      </c>
    </row>
    <row r="355" spans="1:2" x14ac:dyDescent="0.25">
      <c r="A355" s="6">
        <v>36318</v>
      </c>
      <c r="B355">
        <v>8.3085000000000006E-4</v>
      </c>
    </row>
    <row r="356" spans="1:2" x14ac:dyDescent="0.25">
      <c r="A356" s="6">
        <v>36319</v>
      </c>
      <c r="B356">
        <v>8.3053000000000001E-4</v>
      </c>
    </row>
    <row r="357" spans="1:2" x14ac:dyDescent="0.25">
      <c r="A357" s="6">
        <v>36320</v>
      </c>
      <c r="B357">
        <v>7.8908000000000005E-4</v>
      </c>
    </row>
    <row r="358" spans="1:2" x14ac:dyDescent="0.25">
      <c r="A358" s="6">
        <v>36321</v>
      </c>
      <c r="B358">
        <v>7.8874999999999995E-4</v>
      </c>
    </row>
    <row r="359" spans="1:2" x14ac:dyDescent="0.25">
      <c r="A359" s="6">
        <v>36322</v>
      </c>
      <c r="B359">
        <v>7.8843000000000001E-4</v>
      </c>
    </row>
    <row r="360" spans="1:2" x14ac:dyDescent="0.25">
      <c r="A360" s="6">
        <v>36325</v>
      </c>
      <c r="B360">
        <v>7.8777000000000003E-4</v>
      </c>
    </row>
    <row r="361" spans="1:2" x14ac:dyDescent="0.25">
      <c r="A361" s="6">
        <v>36326</v>
      </c>
      <c r="B361">
        <v>7.8680000000000004E-4</v>
      </c>
    </row>
    <row r="362" spans="1:2" x14ac:dyDescent="0.25">
      <c r="A362" s="6">
        <v>36327</v>
      </c>
      <c r="B362">
        <v>7.8680000000000004E-4</v>
      </c>
    </row>
    <row r="363" spans="1:2" x14ac:dyDescent="0.25">
      <c r="A363" s="6">
        <v>36328</v>
      </c>
      <c r="B363">
        <v>7.8615E-4</v>
      </c>
    </row>
    <row r="364" spans="1:2" x14ac:dyDescent="0.25">
      <c r="A364" s="6">
        <v>36329</v>
      </c>
      <c r="B364">
        <v>7.8582000000000001E-4</v>
      </c>
    </row>
    <row r="365" spans="1:2" x14ac:dyDescent="0.25">
      <c r="A365" s="6">
        <v>36332</v>
      </c>
      <c r="B365">
        <v>7.8548999999999991E-4</v>
      </c>
    </row>
    <row r="366" spans="1:2" x14ac:dyDescent="0.25">
      <c r="A366" s="6">
        <v>36333</v>
      </c>
      <c r="B366">
        <v>7.8517000000000007E-4</v>
      </c>
    </row>
    <row r="367" spans="1:2" x14ac:dyDescent="0.25">
      <c r="A367" s="6">
        <v>36334</v>
      </c>
      <c r="B367">
        <v>7.8419000000000004E-4</v>
      </c>
    </row>
    <row r="368" spans="1:2" x14ac:dyDescent="0.25">
      <c r="A368" s="6">
        <v>36335</v>
      </c>
      <c r="B368">
        <v>7.5606000000000002E-4</v>
      </c>
    </row>
    <row r="369" spans="1:2" x14ac:dyDescent="0.25">
      <c r="A369" s="6">
        <v>36336</v>
      </c>
      <c r="B369">
        <v>7.5573000000000003E-4</v>
      </c>
    </row>
    <row r="370" spans="1:2" x14ac:dyDescent="0.25">
      <c r="A370" s="6">
        <v>36339</v>
      </c>
      <c r="B370">
        <v>7.5573000000000003E-4</v>
      </c>
    </row>
    <row r="371" spans="1:2" x14ac:dyDescent="0.25">
      <c r="A371" s="6">
        <v>36340</v>
      </c>
      <c r="B371">
        <v>7.5539999999999993E-4</v>
      </c>
    </row>
    <row r="372" spans="1:2" x14ac:dyDescent="0.25">
      <c r="A372" s="6">
        <v>36341</v>
      </c>
      <c r="B372">
        <v>7.5539999999999993E-4</v>
      </c>
    </row>
    <row r="373" spans="1:2" x14ac:dyDescent="0.25">
      <c r="A373" s="6">
        <v>36342</v>
      </c>
      <c r="B373">
        <v>7.5475E-4</v>
      </c>
    </row>
    <row r="374" spans="1:2" x14ac:dyDescent="0.25">
      <c r="A374" s="6">
        <v>36343</v>
      </c>
      <c r="B374">
        <v>7.5442E-4</v>
      </c>
    </row>
    <row r="375" spans="1:2" x14ac:dyDescent="0.25">
      <c r="A375" s="6">
        <v>36346</v>
      </c>
      <c r="B375">
        <v>7.5836000000000002E-4</v>
      </c>
    </row>
    <row r="376" spans="1:2" x14ac:dyDescent="0.25">
      <c r="A376" s="6">
        <v>36347</v>
      </c>
      <c r="B376">
        <v>7.5442E-4</v>
      </c>
    </row>
    <row r="377" spans="1:2" x14ac:dyDescent="0.25">
      <c r="A377" s="6">
        <v>36348</v>
      </c>
      <c r="B377">
        <v>7.5342999999999992E-4</v>
      </c>
    </row>
    <row r="378" spans="1:2" x14ac:dyDescent="0.25">
      <c r="A378" s="6">
        <v>36349</v>
      </c>
      <c r="B378">
        <v>7.5342999999999992E-4</v>
      </c>
    </row>
    <row r="379" spans="1:2" x14ac:dyDescent="0.25">
      <c r="A379" s="6">
        <v>36350</v>
      </c>
      <c r="B379">
        <v>7.5277999999999999E-4</v>
      </c>
    </row>
    <row r="380" spans="1:2" x14ac:dyDescent="0.25">
      <c r="A380" s="6">
        <v>36353</v>
      </c>
      <c r="B380">
        <v>7.5310000000000004E-4</v>
      </c>
    </row>
    <row r="381" spans="1:2" x14ac:dyDescent="0.25">
      <c r="A381" s="6">
        <v>36354</v>
      </c>
      <c r="B381">
        <v>7.524500000000001E-4</v>
      </c>
    </row>
    <row r="382" spans="1:2" x14ac:dyDescent="0.25">
      <c r="A382" s="6">
        <v>36355</v>
      </c>
      <c r="B382">
        <v>7.5212E-4</v>
      </c>
    </row>
    <row r="383" spans="1:2" x14ac:dyDescent="0.25">
      <c r="A383" s="6">
        <v>36356</v>
      </c>
      <c r="B383">
        <v>7.5212E-4</v>
      </c>
    </row>
    <row r="384" spans="1:2" x14ac:dyDescent="0.25">
      <c r="A384" s="6">
        <v>36357</v>
      </c>
      <c r="B384">
        <v>7.5146000000000002E-4</v>
      </c>
    </row>
    <row r="385" spans="1:2" x14ac:dyDescent="0.25">
      <c r="A385" s="6">
        <v>36360</v>
      </c>
      <c r="B385">
        <v>7.5113000000000003E-4</v>
      </c>
    </row>
    <row r="386" spans="1:2" x14ac:dyDescent="0.25">
      <c r="A386" s="6">
        <v>36361</v>
      </c>
      <c r="B386">
        <v>7.5079999999999993E-4</v>
      </c>
    </row>
    <row r="387" spans="1:2" x14ac:dyDescent="0.25">
      <c r="A387" s="6">
        <v>36362</v>
      </c>
      <c r="B387">
        <v>7.5047999999999998E-4</v>
      </c>
    </row>
    <row r="388" spans="1:2" x14ac:dyDescent="0.25">
      <c r="A388" s="6">
        <v>36363</v>
      </c>
      <c r="B388">
        <v>7.4981999999999989E-4</v>
      </c>
    </row>
    <row r="389" spans="1:2" x14ac:dyDescent="0.25">
      <c r="A389" s="6">
        <v>36364</v>
      </c>
      <c r="B389">
        <v>7.4981999999999989E-4</v>
      </c>
    </row>
    <row r="390" spans="1:2" x14ac:dyDescent="0.25">
      <c r="A390" s="6">
        <v>36367</v>
      </c>
      <c r="B390">
        <v>7.4949000000000001E-4</v>
      </c>
    </row>
    <row r="391" spans="1:2" x14ac:dyDescent="0.25">
      <c r="A391" s="6">
        <v>36368</v>
      </c>
      <c r="B391">
        <v>7.4916000000000002E-4</v>
      </c>
    </row>
    <row r="392" spans="1:2" x14ac:dyDescent="0.25">
      <c r="A392" s="6">
        <v>36369</v>
      </c>
      <c r="B392">
        <v>7.4883000000000003E-4</v>
      </c>
    </row>
    <row r="393" spans="1:2" x14ac:dyDescent="0.25">
      <c r="A393" s="6">
        <v>36370</v>
      </c>
      <c r="B393">
        <v>7.0783999999999994E-4</v>
      </c>
    </row>
    <row r="394" spans="1:2" x14ac:dyDescent="0.25">
      <c r="A394" s="6">
        <v>36371</v>
      </c>
      <c r="B394">
        <v>7.0750999999999995E-4</v>
      </c>
    </row>
    <row r="395" spans="1:2" x14ac:dyDescent="0.25">
      <c r="A395" s="6">
        <v>36374</v>
      </c>
      <c r="B395">
        <v>7.0750999999999995E-4</v>
      </c>
    </row>
    <row r="396" spans="1:2" x14ac:dyDescent="0.25">
      <c r="A396" s="6">
        <v>36375</v>
      </c>
      <c r="B396">
        <v>7.0750999999999995E-4</v>
      </c>
    </row>
    <row r="397" spans="1:2" x14ac:dyDescent="0.25">
      <c r="A397" s="6">
        <v>36376</v>
      </c>
      <c r="B397">
        <v>7.0750999999999995E-4</v>
      </c>
    </row>
    <row r="398" spans="1:2" x14ac:dyDescent="0.25">
      <c r="A398" s="6">
        <v>36377</v>
      </c>
      <c r="B398">
        <v>7.0750999999999995E-4</v>
      </c>
    </row>
    <row r="399" spans="1:2" x14ac:dyDescent="0.25">
      <c r="A399" s="6">
        <v>36378</v>
      </c>
      <c r="B399">
        <v>7.0750999999999995E-4</v>
      </c>
    </row>
    <row r="400" spans="1:2" x14ac:dyDescent="0.25">
      <c r="A400" s="6">
        <v>36381</v>
      </c>
      <c r="B400">
        <v>7.0750999999999995E-4</v>
      </c>
    </row>
    <row r="401" spans="1:2" x14ac:dyDescent="0.25">
      <c r="A401" s="6">
        <v>36382</v>
      </c>
      <c r="B401">
        <v>7.0750999999999995E-4</v>
      </c>
    </row>
    <row r="402" spans="1:2" x14ac:dyDescent="0.25">
      <c r="A402" s="6">
        <v>36383</v>
      </c>
      <c r="B402">
        <v>7.0750999999999995E-4</v>
      </c>
    </row>
    <row r="403" spans="1:2" x14ac:dyDescent="0.25">
      <c r="A403" s="6">
        <v>36384</v>
      </c>
      <c r="B403">
        <v>7.0750999999999995E-4</v>
      </c>
    </row>
    <row r="404" spans="1:2" x14ac:dyDescent="0.25">
      <c r="A404" s="6">
        <v>36385</v>
      </c>
      <c r="B404">
        <v>7.0750999999999995E-4</v>
      </c>
    </row>
    <row r="405" spans="1:2" x14ac:dyDescent="0.25">
      <c r="A405" s="6">
        <v>36388</v>
      </c>
      <c r="B405">
        <v>7.0783999999999994E-4</v>
      </c>
    </row>
    <row r="406" spans="1:2" x14ac:dyDescent="0.25">
      <c r="A406" s="6">
        <v>36389</v>
      </c>
      <c r="B406">
        <v>7.0783999999999994E-4</v>
      </c>
    </row>
    <row r="407" spans="1:2" x14ac:dyDescent="0.25">
      <c r="A407" s="6">
        <v>36390</v>
      </c>
      <c r="B407">
        <v>7.0783999999999994E-4</v>
      </c>
    </row>
    <row r="408" spans="1:2" x14ac:dyDescent="0.25">
      <c r="A408" s="6">
        <v>36391</v>
      </c>
      <c r="B408">
        <v>7.0783999999999994E-4</v>
      </c>
    </row>
    <row r="409" spans="1:2" x14ac:dyDescent="0.25">
      <c r="A409" s="6">
        <v>36392</v>
      </c>
      <c r="B409">
        <v>7.0783999999999994E-4</v>
      </c>
    </row>
    <row r="410" spans="1:2" x14ac:dyDescent="0.25">
      <c r="A410" s="6">
        <v>36395</v>
      </c>
      <c r="B410">
        <v>7.0783999999999994E-4</v>
      </c>
    </row>
    <row r="411" spans="1:2" x14ac:dyDescent="0.25">
      <c r="A411" s="6">
        <v>36396</v>
      </c>
      <c r="B411">
        <v>7.0783999999999994E-4</v>
      </c>
    </row>
    <row r="412" spans="1:2" x14ac:dyDescent="0.25">
      <c r="A412" s="6">
        <v>36397</v>
      </c>
      <c r="B412">
        <v>7.0783999999999994E-4</v>
      </c>
    </row>
    <row r="413" spans="1:2" x14ac:dyDescent="0.25">
      <c r="A413" s="6">
        <v>36398</v>
      </c>
      <c r="B413">
        <v>7.0783999999999994E-4</v>
      </c>
    </row>
    <row r="414" spans="1:2" x14ac:dyDescent="0.25">
      <c r="A414" s="6">
        <v>36399</v>
      </c>
      <c r="B414">
        <v>7.0750999999999995E-4</v>
      </c>
    </row>
    <row r="415" spans="1:2" x14ac:dyDescent="0.25">
      <c r="A415" s="6">
        <v>36402</v>
      </c>
      <c r="B415">
        <v>7.0750999999999995E-4</v>
      </c>
    </row>
    <row r="416" spans="1:2" x14ac:dyDescent="0.25">
      <c r="A416" s="6">
        <v>36403</v>
      </c>
      <c r="B416">
        <v>7.0783999999999994E-4</v>
      </c>
    </row>
    <row r="417" spans="1:2" x14ac:dyDescent="0.25">
      <c r="A417" s="6">
        <v>36404</v>
      </c>
      <c r="B417">
        <v>7.0750999999999995E-4</v>
      </c>
    </row>
    <row r="418" spans="1:2" x14ac:dyDescent="0.25">
      <c r="A418" s="6">
        <v>36405</v>
      </c>
      <c r="B418">
        <v>7.0783999999999994E-4</v>
      </c>
    </row>
    <row r="419" spans="1:2" x14ac:dyDescent="0.25">
      <c r="A419" s="6">
        <v>36406</v>
      </c>
      <c r="B419">
        <v>7.0818000000000009E-4</v>
      </c>
    </row>
    <row r="420" spans="1:2" x14ac:dyDescent="0.25">
      <c r="A420" s="6">
        <v>36409</v>
      </c>
      <c r="B420">
        <v>7.0818000000000009E-4</v>
      </c>
    </row>
    <row r="421" spans="1:2" x14ac:dyDescent="0.25">
      <c r="A421" s="6">
        <v>36411</v>
      </c>
      <c r="B421">
        <v>7.0783999999999994E-4</v>
      </c>
    </row>
    <row r="422" spans="1:2" x14ac:dyDescent="0.25">
      <c r="A422" s="6">
        <v>36412</v>
      </c>
      <c r="B422">
        <v>7.0783999999999994E-4</v>
      </c>
    </row>
    <row r="423" spans="1:2" x14ac:dyDescent="0.25">
      <c r="A423" s="6">
        <v>36413</v>
      </c>
      <c r="B423">
        <v>7.0783999999999994E-4</v>
      </c>
    </row>
    <row r="424" spans="1:2" x14ac:dyDescent="0.25">
      <c r="A424" s="6">
        <v>36416</v>
      </c>
      <c r="B424">
        <v>7.0783999999999994E-4</v>
      </c>
    </row>
    <row r="425" spans="1:2" x14ac:dyDescent="0.25">
      <c r="A425" s="6">
        <v>36417</v>
      </c>
      <c r="B425">
        <v>7.0783999999999994E-4</v>
      </c>
    </row>
    <row r="426" spans="1:2" x14ac:dyDescent="0.25">
      <c r="A426" s="6">
        <v>36418</v>
      </c>
      <c r="B426">
        <v>7.0783999999999994E-4</v>
      </c>
    </row>
    <row r="427" spans="1:2" x14ac:dyDescent="0.25">
      <c r="A427" s="6">
        <v>36419</v>
      </c>
      <c r="B427">
        <v>7.0818000000000009E-4</v>
      </c>
    </row>
    <row r="428" spans="1:2" x14ac:dyDescent="0.25">
      <c r="A428" s="6">
        <v>36420</v>
      </c>
      <c r="B428">
        <v>7.0783999999999994E-4</v>
      </c>
    </row>
    <row r="429" spans="1:2" x14ac:dyDescent="0.25">
      <c r="A429" s="6">
        <v>36423</v>
      </c>
      <c r="B429">
        <v>7.0783999999999994E-4</v>
      </c>
    </row>
    <row r="430" spans="1:2" x14ac:dyDescent="0.25">
      <c r="A430" s="6">
        <v>36424</v>
      </c>
      <c r="B430">
        <v>7.0750999999999995E-4</v>
      </c>
    </row>
    <row r="431" spans="1:2" x14ac:dyDescent="0.25">
      <c r="A431" s="6">
        <v>36425</v>
      </c>
      <c r="B431">
        <v>7.0718000000000007E-4</v>
      </c>
    </row>
    <row r="432" spans="1:2" x14ac:dyDescent="0.25">
      <c r="A432" s="6">
        <v>36426</v>
      </c>
      <c r="B432">
        <v>6.9419999999999996E-4</v>
      </c>
    </row>
    <row r="433" spans="1:2" x14ac:dyDescent="0.25">
      <c r="A433" s="6">
        <v>36427</v>
      </c>
      <c r="B433">
        <v>6.912E-4</v>
      </c>
    </row>
    <row r="434" spans="1:2" x14ac:dyDescent="0.25">
      <c r="A434" s="6">
        <v>36430</v>
      </c>
      <c r="B434">
        <v>6.9185999999999998E-4</v>
      </c>
    </row>
    <row r="435" spans="1:2" x14ac:dyDescent="0.25">
      <c r="A435" s="6">
        <v>36431</v>
      </c>
      <c r="B435">
        <v>6.912E-4</v>
      </c>
    </row>
    <row r="436" spans="1:2" x14ac:dyDescent="0.25">
      <c r="A436" s="6">
        <v>36432</v>
      </c>
      <c r="B436">
        <v>6.9085999999999996E-4</v>
      </c>
    </row>
    <row r="437" spans="1:2" x14ac:dyDescent="0.25">
      <c r="A437" s="6">
        <v>36433</v>
      </c>
      <c r="B437">
        <v>6.9053000000000007E-4</v>
      </c>
    </row>
    <row r="438" spans="1:2" x14ac:dyDescent="0.25">
      <c r="A438" s="6">
        <v>36434</v>
      </c>
      <c r="B438">
        <v>6.9053000000000007E-4</v>
      </c>
    </row>
    <row r="439" spans="1:2" x14ac:dyDescent="0.25">
      <c r="A439" s="6">
        <v>36437</v>
      </c>
      <c r="B439">
        <v>6.9019999999999997E-4</v>
      </c>
    </row>
    <row r="440" spans="1:2" x14ac:dyDescent="0.25">
      <c r="A440" s="6">
        <v>36438</v>
      </c>
      <c r="B440">
        <v>6.8953000000000005E-4</v>
      </c>
    </row>
    <row r="441" spans="1:2" x14ac:dyDescent="0.25">
      <c r="A441" s="6">
        <v>36439</v>
      </c>
      <c r="B441">
        <v>6.891899999999999E-4</v>
      </c>
    </row>
    <row r="442" spans="1:2" x14ac:dyDescent="0.25">
      <c r="A442" s="6">
        <v>36440</v>
      </c>
      <c r="B442">
        <v>6.891899999999999E-4</v>
      </c>
    </row>
    <row r="443" spans="1:2" x14ac:dyDescent="0.25">
      <c r="A443" s="6">
        <v>36441</v>
      </c>
      <c r="B443">
        <v>6.8886000000000001E-4</v>
      </c>
    </row>
    <row r="444" spans="1:2" x14ac:dyDescent="0.25">
      <c r="A444" s="6">
        <v>36444</v>
      </c>
      <c r="B444">
        <v>6.8853000000000002E-4</v>
      </c>
    </row>
    <row r="445" spans="1:2" x14ac:dyDescent="0.25">
      <c r="A445" s="6">
        <v>36446</v>
      </c>
      <c r="B445">
        <v>6.8819000000000009E-4</v>
      </c>
    </row>
    <row r="446" spans="1:2" x14ac:dyDescent="0.25">
      <c r="A446" s="6">
        <v>36447</v>
      </c>
      <c r="B446">
        <v>6.8751999999999995E-4</v>
      </c>
    </row>
    <row r="447" spans="1:2" x14ac:dyDescent="0.25">
      <c r="A447" s="6">
        <v>36448</v>
      </c>
      <c r="B447">
        <v>6.8751999999999995E-4</v>
      </c>
    </row>
    <row r="448" spans="1:2" x14ac:dyDescent="0.25">
      <c r="A448" s="6">
        <v>36451</v>
      </c>
      <c r="B448">
        <v>6.8719000000000007E-4</v>
      </c>
    </row>
    <row r="449" spans="1:2" x14ac:dyDescent="0.25">
      <c r="A449" s="6">
        <v>36452</v>
      </c>
      <c r="B449">
        <v>6.8685999999999997E-4</v>
      </c>
    </row>
    <row r="450" spans="1:2" x14ac:dyDescent="0.25">
      <c r="A450" s="6">
        <v>36453</v>
      </c>
      <c r="B450">
        <v>6.8652000000000003E-4</v>
      </c>
    </row>
    <row r="451" spans="1:2" x14ac:dyDescent="0.25">
      <c r="A451" s="6">
        <v>36454</v>
      </c>
      <c r="B451">
        <v>6.8652000000000003E-4</v>
      </c>
    </row>
    <row r="452" spans="1:2" x14ac:dyDescent="0.25">
      <c r="A452" s="6">
        <v>36455</v>
      </c>
      <c r="B452">
        <v>6.8619000000000004E-4</v>
      </c>
    </row>
    <row r="453" spans="1:2" x14ac:dyDescent="0.25">
      <c r="A453" s="6">
        <v>36458</v>
      </c>
      <c r="B453">
        <v>6.8584999999999989E-4</v>
      </c>
    </row>
    <row r="454" spans="1:2" x14ac:dyDescent="0.25">
      <c r="A454" s="6">
        <v>36459</v>
      </c>
      <c r="B454">
        <v>6.8552000000000001E-4</v>
      </c>
    </row>
    <row r="455" spans="1:2" x14ac:dyDescent="0.25">
      <c r="A455" s="6">
        <v>36460</v>
      </c>
      <c r="B455">
        <v>6.8519000000000002E-4</v>
      </c>
    </row>
    <row r="456" spans="1:2" x14ac:dyDescent="0.25">
      <c r="A456" s="6">
        <v>36461</v>
      </c>
      <c r="B456">
        <v>6.8485000000000009E-4</v>
      </c>
    </row>
    <row r="457" spans="1:2" x14ac:dyDescent="0.25">
      <c r="A457" s="6">
        <v>36462</v>
      </c>
      <c r="B457">
        <v>6.8485000000000009E-4</v>
      </c>
    </row>
    <row r="458" spans="1:2" x14ac:dyDescent="0.25">
      <c r="A458" s="6">
        <v>36465</v>
      </c>
      <c r="B458">
        <v>6.8451999999999999E-4</v>
      </c>
    </row>
    <row r="459" spans="1:2" x14ac:dyDescent="0.25">
      <c r="A459" s="6">
        <v>36467</v>
      </c>
      <c r="B459">
        <v>6.8418000000000005E-4</v>
      </c>
    </row>
    <row r="460" spans="1:2" x14ac:dyDescent="0.25">
      <c r="A460" s="6">
        <v>36468</v>
      </c>
      <c r="B460">
        <v>6.8418000000000005E-4</v>
      </c>
    </row>
    <row r="461" spans="1:2" x14ac:dyDescent="0.25">
      <c r="A461" s="6">
        <v>36469</v>
      </c>
      <c r="B461">
        <v>6.8418000000000005E-4</v>
      </c>
    </row>
    <row r="462" spans="1:2" x14ac:dyDescent="0.25">
      <c r="A462" s="6">
        <v>36472</v>
      </c>
      <c r="B462">
        <v>6.8418000000000005E-4</v>
      </c>
    </row>
    <row r="463" spans="1:2" x14ac:dyDescent="0.25">
      <c r="A463" s="6">
        <v>36473</v>
      </c>
      <c r="B463">
        <v>6.8418000000000005E-4</v>
      </c>
    </row>
    <row r="464" spans="1:2" x14ac:dyDescent="0.25">
      <c r="A464" s="6">
        <v>36474</v>
      </c>
      <c r="B464">
        <v>6.8418000000000005E-4</v>
      </c>
    </row>
    <row r="465" spans="1:2" x14ac:dyDescent="0.25">
      <c r="A465" s="6">
        <v>36475</v>
      </c>
      <c r="B465">
        <v>6.9019999999999997E-4</v>
      </c>
    </row>
    <row r="466" spans="1:2" x14ac:dyDescent="0.25">
      <c r="A466" s="6">
        <v>36476</v>
      </c>
      <c r="B466">
        <v>6.9085999999999996E-4</v>
      </c>
    </row>
    <row r="467" spans="1:2" x14ac:dyDescent="0.25">
      <c r="A467" s="6">
        <v>36480</v>
      </c>
      <c r="B467">
        <v>6.9085999999999996E-4</v>
      </c>
    </row>
    <row r="468" spans="1:2" x14ac:dyDescent="0.25">
      <c r="A468" s="6">
        <v>36481</v>
      </c>
      <c r="B468">
        <v>6.9085999999999996E-4</v>
      </c>
    </row>
    <row r="469" spans="1:2" x14ac:dyDescent="0.25">
      <c r="A469" s="6">
        <v>36482</v>
      </c>
      <c r="B469">
        <v>6.9085999999999996E-4</v>
      </c>
    </row>
    <row r="470" spans="1:2" x14ac:dyDescent="0.25">
      <c r="A470" s="6">
        <v>36483</v>
      </c>
      <c r="B470">
        <v>6.912E-4</v>
      </c>
    </row>
    <row r="471" spans="1:2" x14ac:dyDescent="0.25">
      <c r="A471" s="6">
        <v>36486</v>
      </c>
      <c r="B471">
        <v>6.912E-4</v>
      </c>
    </row>
    <row r="472" spans="1:2" x14ac:dyDescent="0.25">
      <c r="A472" s="6">
        <v>36487</v>
      </c>
      <c r="B472">
        <v>6.912E-4</v>
      </c>
    </row>
    <row r="473" spans="1:2" x14ac:dyDescent="0.25">
      <c r="A473" s="6">
        <v>36488</v>
      </c>
      <c r="B473">
        <v>6.912E-4</v>
      </c>
    </row>
    <row r="474" spans="1:2" x14ac:dyDescent="0.25">
      <c r="A474" s="6">
        <v>36489</v>
      </c>
      <c r="B474">
        <v>6.915300000000001E-4</v>
      </c>
    </row>
    <row r="475" spans="1:2" x14ac:dyDescent="0.25">
      <c r="A475" s="6">
        <v>36490</v>
      </c>
      <c r="B475">
        <v>6.915300000000001E-4</v>
      </c>
    </row>
    <row r="476" spans="1:2" x14ac:dyDescent="0.25">
      <c r="A476" s="6">
        <v>36493</v>
      </c>
      <c r="B476">
        <v>6.9185999999999998E-4</v>
      </c>
    </row>
    <row r="477" spans="1:2" x14ac:dyDescent="0.25">
      <c r="A477" s="6">
        <v>36494</v>
      </c>
      <c r="B477">
        <v>6.915300000000001E-4</v>
      </c>
    </row>
    <row r="478" spans="1:2" x14ac:dyDescent="0.25">
      <c r="A478" s="6">
        <v>36495</v>
      </c>
      <c r="B478">
        <v>6.912E-4</v>
      </c>
    </row>
    <row r="479" spans="1:2" x14ac:dyDescent="0.25">
      <c r="A479" s="6">
        <v>36496</v>
      </c>
      <c r="B479">
        <v>6.8986000000000004E-4</v>
      </c>
    </row>
    <row r="480" spans="1:2" x14ac:dyDescent="0.25">
      <c r="A480" s="6">
        <v>36497</v>
      </c>
      <c r="B480">
        <v>6.8953000000000005E-4</v>
      </c>
    </row>
    <row r="481" spans="1:2" x14ac:dyDescent="0.25">
      <c r="A481" s="6">
        <v>36500</v>
      </c>
      <c r="B481">
        <v>6.8953000000000005E-4</v>
      </c>
    </row>
    <row r="482" spans="1:2" x14ac:dyDescent="0.25">
      <c r="A482" s="6">
        <v>36501</v>
      </c>
      <c r="B482">
        <v>6.891899999999999E-4</v>
      </c>
    </row>
    <row r="483" spans="1:2" x14ac:dyDescent="0.25">
      <c r="A483" s="6">
        <v>36502</v>
      </c>
      <c r="B483">
        <v>6.8886000000000001E-4</v>
      </c>
    </row>
    <row r="484" spans="1:2" x14ac:dyDescent="0.25">
      <c r="A484" s="6">
        <v>36503</v>
      </c>
      <c r="B484">
        <v>6.8886000000000001E-4</v>
      </c>
    </row>
    <row r="485" spans="1:2" x14ac:dyDescent="0.25">
      <c r="A485" s="6">
        <v>36504</v>
      </c>
      <c r="B485">
        <v>6.8886000000000001E-4</v>
      </c>
    </row>
    <row r="486" spans="1:2" x14ac:dyDescent="0.25">
      <c r="A486" s="6">
        <v>36507</v>
      </c>
      <c r="B486">
        <v>6.8886000000000001E-4</v>
      </c>
    </row>
    <row r="487" spans="1:2" x14ac:dyDescent="0.25">
      <c r="A487" s="6">
        <v>36508</v>
      </c>
      <c r="B487">
        <v>6.8886000000000001E-4</v>
      </c>
    </row>
    <row r="488" spans="1:2" x14ac:dyDescent="0.25">
      <c r="A488" s="6">
        <v>36509</v>
      </c>
      <c r="B488">
        <v>6.8886000000000001E-4</v>
      </c>
    </row>
    <row r="489" spans="1:2" x14ac:dyDescent="0.25">
      <c r="A489" s="6">
        <v>36510</v>
      </c>
      <c r="B489">
        <v>6.8986000000000004E-4</v>
      </c>
    </row>
    <row r="490" spans="1:2" x14ac:dyDescent="0.25">
      <c r="A490" s="6">
        <v>36511</v>
      </c>
      <c r="B490">
        <v>6.9019999999999997E-4</v>
      </c>
    </row>
    <row r="491" spans="1:2" x14ac:dyDescent="0.25">
      <c r="A491" s="6">
        <v>36514</v>
      </c>
      <c r="B491">
        <v>6.9019999999999997E-4</v>
      </c>
    </row>
    <row r="492" spans="1:2" x14ac:dyDescent="0.25">
      <c r="A492" s="6">
        <v>36515</v>
      </c>
      <c r="B492">
        <v>6.915300000000001E-4</v>
      </c>
    </row>
    <row r="493" spans="1:2" x14ac:dyDescent="0.25">
      <c r="A493" s="6">
        <v>36516</v>
      </c>
      <c r="B493">
        <v>6.8953000000000005E-4</v>
      </c>
    </row>
    <row r="494" spans="1:2" x14ac:dyDescent="0.25">
      <c r="A494" s="6">
        <v>36517</v>
      </c>
      <c r="B494">
        <v>6.912E-4</v>
      </c>
    </row>
    <row r="495" spans="1:2" x14ac:dyDescent="0.25">
      <c r="A495" s="6">
        <v>36518</v>
      </c>
      <c r="B495">
        <v>6.912E-4</v>
      </c>
    </row>
    <row r="496" spans="1:2" x14ac:dyDescent="0.25">
      <c r="A496" s="6">
        <v>36521</v>
      </c>
      <c r="B496">
        <v>6.9220000000000002E-4</v>
      </c>
    </row>
    <row r="497" spans="1:2" x14ac:dyDescent="0.25">
      <c r="A497" s="6">
        <v>36522</v>
      </c>
      <c r="B497">
        <v>6.9185999999999998E-4</v>
      </c>
    </row>
    <row r="498" spans="1:2" x14ac:dyDescent="0.25">
      <c r="A498" s="6">
        <v>36523</v>
      </c>
      <c r="B498">
        <v>6.912E-4</v>
      </c>
    </row>
    <row r="499" spans="1:2" x14ac:dyDescent="0.25">
      <c r="A499" s="6">
        <v>36524</v>
      </c>
      <c r="B499">
        <v>6.9185999999999998E-4</v>
      </c>
    </row>
    <row r="500" spans="1:2" x14ac:dyDescent="0.25">
      <c r="A500" s="6">
        <v>36525</v>
      </c>
      <c r="B500">
        <v>6.9185999999999998E-4</v>
      </c>
    </row>
    <row r="501" spans="1:2" x14ac:dyDescent="0.25">
      <c r="A501" s="6">
        <v>36528</v>
      </c>
      <c r="B501">
        <v>6.9185999999999998E-4</v>
      </c>
    </row>
    <row r="502" spans="1:2" x14ac:dyDescent="0.25">
      <c r="A502" s="6">
        <v>36529</v>
      </c>
      <c r="B502">
        <v>6.9185999999999998E-4</v>
      </c>
    </row>
    <row r="503" spans="1:2" x14ac:dyDescent="0.25">
      <c r="A503" s="6">
        <v>36530</v>
      </c>
      <c r="B503">
        <v>6.9220000000000002E-4</v>
      </c>
    </row>
    <row r="504" spans="1:2" x14ac:dyDescent="0.25">
      <c r="A504" s="6">
        <v>36531</v>
      </c>
      <c r="B504">
        <v>6.9286E-4</v>
      </c>
    </row>
    <row r="505" spans="1:2" x14ac:dyDescent="0.25">
      <c r="A505" s="6">
        <v>36532</v>
      </c>
      <c r="B505">
        <v>6.9286E-4</v>
      </c>
    </row>
    <row r="506" spans="1:2" x14ac:dyDescent="0.25">
      <c r="A506" s="6">
        <v>36535</v>
      </c>
      <c r="B506">
        <v>6.912E-4</v>
      </c>
    </row>
    <row r="507" spans="1:2" x14ac:dyDescent="0.25">
      <c r="A507" s="6">
        <v>36536</v>
      </c>
      <c r="B507">
        <v>6.8986000000000004E-4</v>
      </c>
    </row>
    <row r="508" spans="1:2" x14ac:dyDescent="0.25">
      <c r="A508" s="6">
        <v>36537</v>
      </c>
      <c r="B508">
        <v>6.8819000000000009E-4</v>
      </c>
    </row>
    <row r="509" spans="1:2" x14ac:dyDescent="0.25">
      <c r="A509" s="6">
        <v>36538</v>
      </c>
      <c r="B509">
        <v>6.8785999999999999E-4</v>
      </c>
    </row>
    <row r="510" spans="1:2" x14ac:dyDescent="0.25">
      <c r="A510" s="6">
        <v>36539</v>
      </c>
      <c r="B510">
        <v>6.8719000000000007E-4</v>
      </c>
    </row>
    <row r="511" spans="1:2" x14ac:dyDescent="0.25">
      <c r="A511" s="6">
        <v>36542</v>
      </c>
      <c r="B511">
        <v>6.8751999999999995E-4</v>
      </c>
    </row>
    <row r="512" spans="1:2" x14ac:dyDescent="0.25">
      <c r="A512" s="6">
        <v>36543</v>
      </c>
      <c r="B512">
        <v>6.8685999999999997E-4</v>
      </c>
    </row>
    <row r="513" spans="1:2" x14ac:dyDescent="0.25">
      <c r="A513" s="6">
        <v>36544</v>
      </c>
      <c r="B513">
        <v>6.8619000000000004E-4</v>
      </c>
    </row>
    <row r="514" spans="1:2" x14ac:dyDescent="0.25">
      <c r="A514" s="6">
        <v>36545</v>
      </c>
      <c r="B514">
        <v>6.8619000000000004E-4</v>
      </c>
    </row>
    <row r="515" spans="1:2" x14ac:dyDescent="0.25">
      <c r="A515" s="6">
        <v>36546</v>
      </c>
      <c r="B515">
        <v>6.8619000000000004E-4</v>
      </c>
    </row>
    <row r="516" spans="1:2" x14ac:dyDescent="0.25">
      <c r="A516" s="6">
        <v>36549</v>
      </c>
      <c r="B516">
        <v>6.8619000000000004E-4</v>
      </c>
    </row>
    <row r="517" spans="1:2" x14ac:dyDescent="0.25">
      <c r="A517" s="6">
        <v>36550</v>
      </c>
      <c r="B517">
        <v>6.8619000000000004E-4</v>
      </c>
    </row>
    <row r="518" spans="1:2" x14ac:dyDescent="0.25">
      <c r="A518" s="6">
        <v>36551</v>
      </c>
      <c r="B518">
        <v>6.8619000000000004E-4</v>
      </c>
    </row>
    <row r="519" spans="1:2" x14ac:dyDescent="0.25">
      <c r="A519" s="6">
        <v>36552</v>
      </c>
      <c r="B519">
        <v>6.8619000000000004E-4</v>
      </c>
    </row>
    <row r="520" spans="1:2" x14ac:dyDescent="0.25">
      <c r="A520" s="6">
        <v>36553</v>
      </c>
      <c r="B520">
        <v>6.8652000000000003E-4</v>
      </c>
    </row>
    <row r="521" spans="1:2" x14ac:dyDescent="0.25">
      <c r="A521" s="6">
        <v>36556</v>
      </c>
      <c r="B521">
        <v>6.8719000000000007E-4</v>
      </c>
    </row>
    <row r="522" spans="1:2" x14ac:dyDescent="0.25">
      <c r="A522" s="6">
        <v>36557</v>
      </c>
      <c r="B522">
        <v>6.8619000000000004E-4</v>
      </c>
    </row>
    <row r="523" spans="1:2" x14ac:dyDescent="0.25">
      <c r="A523" s="6">
        <v>36558</v>
      </c>
      <c r="B523">
        <v>6.8584999999999989E-4</v>
      </c>
    </row>
    <row r="524" spans="1:2" x14ac:dyDescent="0.25">
      <c r="A524" s="6">
        <v>36559</v>
      </c>
      <c r="B524">
        <v>6.8619000000000004E-4</v>
      </c>
    </row>
    <row r="525" spans="1:2" x14ac:dyDescent="0.25">
      <c r="A525" s="6">
        <v>36560</v>
      </c>
      <c r="B525">
        <v>6.8652000000000003E-4</v>
      </c>
    </row>
    <row r="526" spans="1:2" x14ac:dyDescent="0.25">
      <c r="A526" s="6">
        <v>36563</v>
      </c>
      <c r="B526">
        <v>6.8619000000000004E-4</v>
      </c>
    </row>
    <row r="527" spans="1:2" x14ac:dyDescent="0.25">
      <c r="A527" s="6">
        <v>36564</v>
      </c>
      <c r="B527">
        <v>6.8619000000000004E-4</v>
      </c>
    </row>
    <row r="528" spans="1:2" x14ac:dyDescent="0.25">
      <c r="A528" s="6">
        <v>36565</v>
      </c>
      <c r="B528">
        <v>6.8619000000000004E-4</v>
      </c>
    </row>
    <row r="529" spans="1:2" x14ac:dyDescent="0.25">
      <c r="A529" s="6">
        <v>36566</v>
      </c>
      <c r="B529">
        <v>6.8619000000000004E-4</v>
      </c>
    </row>
    <row r="530" spans="1:2" x14ac:dyDescent="0.25">
      <c r="A530" s="6">
        <v>36567</v>
      </c>
      <c r="B530">
        <v>6.8584999999999989E-4</v>
      </c>
    </row>
    <row r="531" spans="1:2" x14ac:dyDescent="0.25">
      <c r="A531" s="6">
        <v>36570</v>
      </c>
      <c r="B531">
        <v>6.8619000000000004E-4</v>
      </c>
    </row>
    <row r="532" spans="1:2" x14ac:dyDescent="0.25">
      <c r="A532" s="6">
        <v>36571</v>
      </c>
      <c r="B532">
        <v>6.8619000000000004E-4</v>
      </c>
    </row>
    <row r="533" spans="1:2" x14ac:dyDescent="0.25">
      <c r="A533" s="6">
        <v>36572</v>
      </c>
      <c r="B533">
        <v>6.8619000000000004E-4</v>
      </c>
    </row>
    <row r="534" spans="1:2" x14ac:dyDescent="0.25">
      <c r="A534" s="6">
        <v>36573</v>
      </c>
      <c r="B534">
        <v>6.8619000000000004E-4</v>
      </c>
    </row>
    <row r="535" spans="1:2" x14ac:dyDescent="0.25">
      <c r="A535" s="6">
        <v>36574</v>
      </c>
      <c r="B535">
        <v>6.8619000000000004E-4</v>
      </c>
    </row>
    <row r="536" spans="1:2" x14ac:dyDescent="0.25">
      <c r="A536" s="6">
        <v>36577</v>
      </c>
      <c r="B536">
        <v>6.8619000000000004E-4</v>
      </c>
    </row>
    <row r="537" spans="1:2" x14ac:dyDescent="0.25">
      <c r="A537" s="6">
        <v>36578</v>
      </c>
      <c r="B537">
        <v>6.8619000000000004E-4</v>
      </c>
    </row>
    <row r="538" spans="1:2" x14ac:dyDescent="0.25">
      <c r="A538" s="6">
        <v>36579</v>
      </c>
      <c r="B538">
        <v>6.8619000000000004E-4</v>
      </c>
    </row>
    <row r="539" spans="1:2" x14ac:dyDescent="0.25">
      <c r="A539" s="6">
        <v>36580</v>
      </c>
      <c r="B539">
        <v>6.8619000000000004E-4</v>
      </c>
    </row>
    <row r="540" spans="1:2" x14ac:dyDescent="0.25">
      <c r="A540" s="6">
        <v>36581</v>
      </c>
      <c r="B540">
        <v>6.8619000000000004E-4</v>
      </c>
    </row>
    <row r="541" spans="1:2" x14ac:dyDescent="0.25">
      <c r="A541" s="6">
        <v>36584</v>
      </c>
      <c r="B541">
        <v>6.8619000000000004E-4</v>
      </c>
    </row>
    <row r="542" spans="1:2" x14ac:dyDescent="0.25">
      <c r="A542" s="6">
        <v>36585</v>
      </c>
      <c r="B542">
        <v>6.8619000000000004E-4</v>
      </c>
    </row>
    <row r="543" spans="1:2" x14ac:dyDescent="0.25">
      <c r="A543" s="6">
        <v>36586</v>
      </c>
      <c r="B543">
        <v>6.8652000000000003E-4</v>
      </c>
    </row>
    <row r="544" spans="1:2" x14ac:dyDescent="0.25">
      <c r="A544" s="6">
        <v>36587</v>
      </c>
      <c r="B544">
        <v>6.8685999999999997E-4</v>
      </c>
    </row>
    <row r="545" spans="1:2" x14ac:dyDescent="0.25">
      <c r="A545" s="6">
        <v>36588</v>
      </c>
      <c r="B545">
        <v>6.8652000000000003E-4</v>
      </c>
    </row>
    <row r="546" spans="1:2" x14ac:dyDescent="0.25">
      <c r="A546" s="6">
        <v>36593</v>
      </c>
      <c r="B546">
        <v>6.8619000000000004E-4</v>
      </c>
    </row>
    <row r="547" spans="1:2" x14ac:dyDescent="0.25">
      <c r="A547" s="6">
        <v>36594</v>
      </c>
      <c r="B547">
        <v>6.8619000000000004E-4</v>
      </c>
    </row>
    <row r="548" spans="1:2" x14ac:dyDescent="0.25">
      <c r="A548" s="6">
        <v>36595</v>
      </c>
      <c r="B548">
        <v>6.8685999999999997E-4</v>
      </c>
    </row>
    <row r="549" spans="1:2" x14ac:dyDescent="0.25">
      <c r="A549" s="6">
        <v>36598</v>
      </c>
      <c r="B549">
        <v>6.8652000000000003E-4</v>
      </c>
    </row>
    <row r="550" spans="1:2" x14ac:dyDescent="0.25">
      <c r="A550" s="6">
        <v>36599</v>
      </c>
      <c r="B550">
        <v>6.8652000000000003E-4</v>
      </c>
    </row>
    <row r="551" spans="1:2" x14ac:dyDescent="0.25">
      <c r="A551" s="6">
        <v>36600</v>
      </c>
      <c r="B551">
        <v>6.8652000000000003E-4</v>
      </c>
    </row>
    <row r="552" spans="1:2" x14ac:dyDescent="0.25">
      <c r="A552" s="6">
        <v>36601</v>
      </c>
      <c r="B552">
        <v>6.8652000000000003E-4</v>
      </c>
    </row>
    <row r="553" spans="1:2" x14ac:dyDescent="0.25">
      <c r="A553" s="6">
        <v>36602</v>
      </c>
      <c r="B553">
        <v>6.8652000000000003E-4</v>
      </c>
    </row>
    <row r="554" spans="1:2" x14ac:dyDescent="0.25">
      <c r="A554" s="6">
        <v>36605</v>
      </c>
      <c r="B554">
        <v>6.8652000000000003E-4</v>
      </c>
    </row>
    <row r="555" spans="1:2" x14ac:dyDescent="0.25">
      <c r="A555" s="6">
        <v>36606</v>
      </c>
      <c r="B555">
        <v>6.8619000000000004E-4</v>
      </c>
    </row>
    <row r="556" spans="1:2" x14ac:dyDescent="0.25">
      <c r="A556" s="6">
        <v>36607</v>
      </c>
      <c r="B556">
        <v>6.8652000000000003E-4</v>
      </c>
    </row>
    <row r="557" spans="1:2" x14ac:dyDescent="0.25">
      <c r="A557" s="6">
        <v>36608</v>
      </c>
      <c r="B557">
        <v>6.8751999999999995E-4</v>
      </c>
    </row>
    <row r="558" spans="1:2" x14ac:dyDescent="0.25">
      <c r="A558" s="6">
        <v>36609</v>
      </c>
      <c r="B558">
        <v>6.8853000000000002E-4</v>
      </c>
    </row>
    <row r="559" spans="1:2" x14ac:dyDescent="0.25">
      <c r="A559" s="6">
        <v>36612</v>
      </c>
      <c r="B559">
        <v>6.915300000000001E-4</v>
      </c>
    </row>
    <row r="560" spans="1:2" x14ac:dyDescent="0.25">
      <c r="A560" s="6">
        <v>36613</v>
      </c>
      <c r="B560">
        <v>6.8619000000000004E-4</v>
      </c>
    </row>
    <row r="561" spans="1:2" x14ac:dyDescent="0.25">
      <c r="A561" s="6">
        <v>36614</v>
      </c>
      <c r="B561">
        <v>6.7716E-4</v>
      </c>
    </row>
    <row r="562" spans="1:2" x14ac:dyDescent="0.25">
      <c r="A562" s="6">
        <v>36615</v>
      </c>
      <c r="B562">
        <v>6.7716E-4</v>
      </c>
    </row>
    <row r="563" spans="1:2" x14ac:dyDescent="0.25">
      <c r="A563" s="6">
        <v>36616</v>
      </c>
      <c r="B563">
        <v>6.7447999999999998E-4</v>
      </c>
    </row>
    <row r="564" spans="1:2" x14ac:dyDescent="0.25">
      <c r="A564" s="6">
        <v>36619</v>
      </c>
      <c r="B564">
        <v>6.7347000000000001E-4</v>
      </c>
    </row>
    <row r="565" spans="1:2" x14ac:dyDescent="0.25">
      <c r="A565" s="6">
        <v>36620</v>
      </c>
      <c r="B565">
        <v>6.7480999999999997E-4</v>
      </c>
    </row>
    <row r="566" spans="1:2" x14ac:dyDescent="0.25">
      <c r="A566" s="6">
        <v>36621</v>
      </c>
      <c r="B566">
        <v>6.7882999999999995E-4</v>
      </c>
    </row>
    <row r="567" spans="1:2" x14ac:dyDescent="0.25">
      <c r="A567" s="6">
        <v>36622</v>
      </c>
      <c r="B567">
        <v>6.791700000000001E-4</v>
      </c>
    </row>
    <row r="568" spans="1:2" x14ac:dyDescent="0.25">
      <c r="A568" s="6">
        <v>36623</v>
      </c>
      <c r="B568">
        <v>6.7849999999999996E-4</v>
      </c>
    </row>
    <row r="569" spans="1:2" x14ac:dyDescent="0.25">
      <c r="A569" s="6">
        <v>36626</v>
      </c>
      <c r="B569">
        <v>6.7682000000000007E-4</v>
      </c>
    </row>
    <row r="570" spans="1:2" x14ac:dyDescent="0.25">
      <c r="A570" s="6">
        <v>36627</v>
      </c>
      <c r="B570">
        <v>6.7882999999999995E-4</v>
      </c>
    </row>
    <row r="571" spans="1:2" x14ac:dyDescent="0.25">
      <c r="A571" s="6">
        <v>36628</v>
      </c>
      <c r="B571">
        <v>6.7849999999999996E-4</v>
      </c>
    </row>
    <row r="572" spans="1:2" x14ac:dyDescent="0.25">
      <c r="A572" s="6">
        <v>36629</v>
      </c>
      <c r="B572">
        <v>6.7882999999999995E-4</v>
      </c>
    </row>
    <row r="573" spans="1:2" x14ac:dyDescent="0.25">
      <c r="A573" s="6">
        <v>36630</v>
      </c>
      <c r="B573">
        <v>6.7849999999999996E-4</v>
      </c>
    </row>
    <row r="574" spans="1:2" x14ac:dyDescent="0.25">
      <c r="A574" s="6">
        <v>36633</v>
      </c>
      <c r="B574">
        <v>6.7882999999999995E-4</v>
      </c>
    </row>
    <row r="575" spans="1:2" x14ac:dyDescent="0.25">
      <c r="A575" s="6">
        <v>36634</v>
      </c>
      <c r="B575">
        <v>6.7816000000000003E-4</v>
      </c>
    </row>
    <row r="576" spans="1:2" x14ac:dyDescent="0.25">
      <c r="A576" s="6">
        <v>36635</v>
      </c>
      <c r="B576">
        <v>6.7515000000000001E-4</v>
      </c>
    </row>
    <row r="577" spans="1:2" x14ac:dyDescent="0.25">
      <c r="A577" s="6">
        <v>36636</v>
      </c>
      <c r="B577">
        <v>6.7882999999999995E-4</v>
      </c>
    </row>
    <row r="578" spans="1:2" x14ac:dyDescent="0.25">
      <c r="A578" s="6">
        <v>36640</v>
      </c>
      <c r="B578">
        <v>6.7782999999999993E-4</v>
      </c>
    </row>
    <row r="579" spans="1:2" x14ac:dyDescent="0.25">
      <c r="A579" s="6">
        <v>36641</v>
      </c>
      <c r="B579">
        <v>6.7748999999999999E-4</v>
      </c>
    </row>
    <row r="580" spans="1:2" x14ac:dyDescent="0.25">
      <c r="A580" s="6">
        <v>36642</v>
      </c>
      <c r="B580">
        <v>6.7849999999999996E-4</v>
      </c>
    </row>
    <row r="581" spans="1:2" x14ac:dyDescent="0.25">
      <c r="A581" s="6">
        <v>36643</v>
      </c>
      <c r="B581">
        <v>6.7882999999999995E-4</v>
      </c>
    </row>
    <row r="582" spans="1:2" x14ac:dyDescent="0.25">
      <c r="A582" s="6">
        <v>36644</v>
      </c>
      <c r="B582">
        <v>6.7782999999999993E-4</v>
      </c>
    </row>
    <row r="583" spans="1:2" x14ac:dyDescent="0.25">
      <c r="A583" s="6">
        <v>36648</v>
      </c>
      <c r="B583">
        <v>6.7716E-4</v>
      </c>
    </row>
    <row r="584" spans="1:2" x14ac:dyDescent="0.25">
      <c r="A584" s="6">
        <v>36649</v>
      </c>
      <c r="B584">
        <v>6.7849999999999996E-4</v>
      </c>
    </row>
    <row r="585" spans="1:2" x14ac:dyDescent="0.25">
      <c r="A585" s="6">
        <v>36650</v>
      </c>
      <c r="B585">
        <v>6.7849999999999996E-4</v>
      </c>
    </row>
    <row r="586" spans="1:2" x14ac:dyDescent="0.25">
      <c r="A586" s="6">
        <v>36651</v>
      </c>
      <c r="B586">
        <v>6.7849999999999996E-4</v>
      </c>
    </row>
    <row r="587" spans="1:2" x14ac:dyDescent="0.25">
      <c r="A587" s="6">
        <v>36654</v>
      </c>
      <c r="B587">
        <v>6.7682000000000007E-4</v>
      </c>
    </row>
    <row r="588" spans="1:2" x14ac:dyDescent="0.25">
      <c r="A588" s="6">
        <v>36655</v>
      </c>
      <c r="B588">
        <v>6.7280000000000009E-4</v>
      </c>
    </row>
    <row r="589" spans="1:2" x14ac:dyDescent="0.25">
      <c r="A589" s="6">
        <v>36656</v>
      </c>
      <c r="B589">
        <v>6.7280000000000009E-4</v>
      </c>
    </row>
    <row r="590" spans="1:2" x14ac:dyDescent="0.25">
      <c r="A590" s="6">
        <v>36657</v>
      </c>
      <c r="B590">
        <v>6.7347000000000001E-4</v>
      </c>
    </row>
    <row r="591" spans="1:2" x14ac:dyDescent="0.25">
      <c r="A591" s="6">
        <v>36658</v>
      </c>
      <c r="B591">
        <v>6.7246999999999999E-4</v>
      </c>
    </row>
    <row r="592" spans="1:2" x14ac:dyDescent="0.25">
      <c r="A592" s="6">
        <v>36661</v>
      </c>
      <c r="B592">
        <v>6.7280000000000009E-4</v>
      </c>
    </row>
    <row r="593" spans="1:2" x14ac:dyDescent="0.25">
      <c r="A593" s="6">
        <v>36662</v>
      </c>
      <c r="B593">
        <v>6.7380999999999995E-4</v>
      </c>
    </row>
    <row r="594" spans="1:2" x14ac:dyDescent="0.25">
      <c r="A594" s="6">
        <v>36663</v>
      </c>
      <c r="B594">
        <v>6.7347000000000001E-4</v>
      </c>
    </row>
    <row r="595" spans="1:2" x14ac:dyDescent="0.25">
      <c r="A595" s="6">
        <v>36664</v>
      </c>
      <c r="B595">
        <v>6.7314000000000002E-4</v>
      </c>
    </row>
    <row r="596" spans="1:2" x14ac:dyDescent="0.25">
      <c r="A596" s="6">
        <v>36665</v>
      </c>
      <c r="B596">
        <v>6.7314000000000002E-4</v>
      </c>
    </row>
    <row r="597" spans="1:2" x14ac:dyDescent="0.25">
      <c r="A597" s="6">
        <v>36668</v>
      </c>
      <c r="B597">
        <v>6.7347000000000001E-4</v>
      </c>
    </row>
    <row r="598" spans="1:2" x14ac:dyDescent="0.25">
      <c r="A598" s="6">
        <v>36669</v>
      </c>
      <c r="B598">
        <v>6.7347000000000001E-4</v>
      </c>
    </row>
    <row r="599" spans="1:2" x14ac:dyDescent="0.25">
      <c r="A599" s="6">
        <v>36670</v>
      </c>
      <c r="B599">
        <v>6.7347000000000001E-4</v>
      </c>
    </row>
    <row r="600" spans="1:2" x14ac:dyDescent="0.25">
      <c r="A600" s="6">
        <v>36671</v>
      </c>
      <c r="B600">
        <v>6.7380999999999995E-4</v>
      </c>
    </row>
    <row r="601" spans="1:2" x14ac:dyDescent="0.25">
      <c r="A601" s="6">
        <v>36672</v>
      </c>
      <c r="B601">
        <v>6.7380999999999995E-4</v>
      </c>
    </row>
    <row r="602" spans="1:2" x14ac:dyDescent="0.25">
      <c r="A602" s="6">
        <v>36675</v>
      </c>
      <c r="B602">
        <v>6.7347000000000001E-4</v>
      </c>
    </row>
    <row r="603" spans="1:2" x14ac:dyDescent="0.25">
      <c r="A603" s="6">
        <v>36676</v>
      </c>
      <c r="B603">
        <v>6.7246999999999999E-4</v>
      </c>
    </row>
    <row r="604" spans="1:2" x14ac:dyDescent="0.25">
      <c r="A604" s="6">
        <v>36677</v>
      </c>
      <c r="B604">
        <v>6.7180000000000007E-4</v>
      </c>
    </row>
    <row r="605" spans="1:2" x14ac:dyDescent="0.25">
      <c r="A605" s="6">
        <v>36678</v>
      </c>
      <c r="B605">
        <v>6.7180000000000007E-4</v>
      </c>
    </row>
    <row r="606" spans="1:2" x14ac:dyDescent="0.25">
      <c r="A606" s="6">
        <v>36679</v>
      </c>
      <c r="B606">
        <v>6.7146000000000003E-4</v>
      </c>
    </row>
    <row r="607" spans="1:2" x14ac:dyDescent="0.25">
      <c r="A607" s="6">
        <v>36682</v>
      </c>
      <c r="B607">
        <v>6.7078999999999999E-4</v>
      </c>
    </row>
    <row r="608" spans="1:2" x14ac:dyDescent="0.25">
      <c r="A608" s="6">
        <v>36683</v>
      </c>
      <c r="B608">
        <v>6.7012000000000007E-4</v>
      </c>
    </row>
    <row r="609" spans="1:2" x14ac:dyDescent="0.25">
      <c r="A609" s="6">
        <v>36684</v>
      </c>
      <c r="B609">
        <v>6.6945000000000004E-4</v>
      </c>
    </row>
    <row r="610" spans="1:2" x14ac:dyDescent="0.25">
      <c r="A610" s="6">
        <v>36685</v>
      </c>
      <c r="B610">
        <v>6.6878000000000011E-4</v>
      </c>
    </row>
    <row r="611" spans="1:2" x14ac:dyDescent="0.25">
      <c r="A611" s="6">
        <v>36686</v>
      </c>
      <c r="B611">
        <v>6.6810999999999997E-4</v>
      </c>
    </row>
    <row r="612" spans="1:2" x14ac:dyDescent="0.25">
      <c r="A612" s="6">
        <v>36689</v>
      </c>
      <c r="B612">
        <v>6.6777000000000004E-4</v>
      </c>
    </row>
    <row r="613" spans="1:2" x14ac:dyDescent="0.25">
      <c r="A613" s="6">
        <v>36690</v>
      </c>
      <c r="B613">
        <v>6.6777000000000004E-4</v>
      </c>
    </row>
    <row r="614" spans="1:2" x14ac:dyDescent="0.25">
      <c r="A614" s="6">
        <v>36691</v>
      </c>
      <c r="B614">
        <v>6.6777000000000004E-4</v>
      </c>
    </row>
    <row r="615" spans="1:2" x14ac:dyDescent="0.25">
      <c r="A615" s="6">
        <v>36692</v>
      </c>
      <c r="B615">
        <v>6.6777000000000004E-4</v>
      </c>
    </row>
    <row r="616" spans="1:2" x14ac:dyDescent="0.25">
      <c r="A616" s="6">
        <v>36693</v>
      </c>
      <c r="B616">
        <v>6.6810999999999997E-4</v>
      </c>
    </row>
    <row r="617" spans="1:2" x14ac:dyDescent="0.25">
      <c r="A617" s="6">
        <v>36696</v>
      </c>
      <c r="B617">
        <v>6.6810999999999997E-4</v>
      </c>
    </row>
    <row r="618" spans="1:2" x14ac:dyDescent="0.25">
      <c r="A618" s="6">
        <v>36697</v>
      </c>
      <c r="B618">
        <v>6.6777000000000004E-4</v>
      </c>
    </row>
    <row r="619" spans="1:2" x14ac:dyDescent="0.25">
      <c r="A619" s="6">
        <v>36698</v>
      </c>
      <c r="B619">
        <v>6.4050000000000001E-4</v>
      </c>
    </row>
    <row r="620" spans="1:2" x14ac:dyDescent="0.25">
      <c r="A620" s="6">
        <v>36700</v>
      </c>
      <c r="B620">
        <v>6.4016000000000008E-4</v>
      </c>
    </row>
    <row r="621" spans="1:2" x14ac:dyDescent="0.25">
      <c r="A621" s="6">
        <v>36703</v>
      </c>
      <c r="B621">
        <v>6.3880999999999996E-4</v>
      </c>
    </row>
    <row r="622" spans="1:2" x14ac:dyDescent="0.25">
      <c r="A622" s="6">
        <v>36704</v>
      </c>
      <c r="B622">
        <v>6.3677999999999998E-4</v>
      </c>
    </row>
    <row r="623" spans="1:2" x14ac:dyDescent="0.25">
      <c r="A623" s="6">
        <v>36705</v>
      </c>
      <c r="B623">
        <v>6.3644000000000005E-4</v>
      </c>
    </row>
    <row r="624" spans="1:2" x14ac:dyDescent="0.25">
      <c r="A624" s="6">
        <v>36706</v>
      </c>
      <c r="B624">
        <v>6.3475000000000001E-4</v>
      </c>
    </row>
    <row r="625" spans="1:2" x14ac:dyDescent="0.25">
      <c r="A625" s="6">
        <v>36707</v>
      </c>
      <c r="B625">
        <v>6.3305000000000002E-4</v>
      </c>
    </row>
    <row r="626" spans="1:2" x14ac:dyDescent="0.25">
      <c r="A626" s="6">
        <v>36710</v>
      </c>
      <c r="B626">
        <v>6.3203999999999995E-4</v>
      </c>
    </row>
    <row r="627" spans="1:2" x14ac:dyDescent="0.25">
      <c r="A627" s="6">
        <v>36711</v>
      </c>
      <c r="B627">
        <v>6.3068E-4</v>
      </c>
    </row>
    <row r="628" spans="1:2" x14ac:dyDescent="0.25">
      <c r="A628" s="6">
        <v>36712</v>
      </c>
      <c r="B628">
        <v>6.3102000000000004E-4</v>
      </c>
    </row>
    <row r="629" spans="1:2" x14ac:dyDescent="0.25">
      <c r="A629" s="6">
        <v>36713</v>
      </c>
      <c r="B629">
        <v>6.3271999999999992E-4</v>
      </c>
    </row>
    <row r="630" spans="1:2" x14ac:dyDescent="0.25">
      <c r="A630" s="6">
        <v>36714</v>
      </c>
      <c r="B630">
        <v>6.3271999999999992E-4</v>
      </c>
    </row>
    <row r="631" spans="1:2" x14ac:dyDescent="0.25">
      <c r="A631" s="6">
        <v>36717</v>
      </c>
      <c r="B631">
        <v>6.2356E-4</v>
      </c>
    </row>
    <row r="632" spans="1:2" x14ac:dyDescent="0.25">
      <c r="A632" s="6">
        <v>36718</v>
      </c>
      <c r="B632">
        <v>6.2186999999999995E-4</v>
      </c>
    </row>
    <row r="633" spans="1:2" x14ac:dyDescent="0.25">
      <c r="A633" s="6">
        <v>36719</v>
      </c>
      <c r="B633">
        <v>6.2254999999999993E-4</v>
      </c>
    </row>
    <row r="634" spans="1:2" x14ac:dyDescent="0.25">
      <c r="A634" s="6">
        <v>36720</v>
      </c>
      <c r="B634">
        <v>6.2118999999999998E-4</v>
      </c>
    </row>
    <row r="635" spans="1:2" x14ac:dyDescent="0.25">
      <c r="A635" s="6">
        <v>36721</v>
      </c>
      <c r="B635">
        <v>6.2153000000000002E-4</v>
      </c>
    </row>
    <row r="636" spans="1:2" x14ac:dyDescent="0.25">
      <c r="A636" s="6">
        <v>36724</v>
      </c>
      <c r="B636">
        <v>6.2153000000000002E-4</v>
      </c>
    </row>
    <row r="637" spans="1:2" x14ac:dyDescent="0.25">
      <c r="A637" s="6">
        <v>36725</v>
      </c>
      <c r="B637">
        <v>6.2118999999999998E-4</v>
      </c>
    </row>
    <row r="638" spans="1:2" x14ac:dyDescent="0.25">
      <c r="A638" s="6">
        <v>36726</v>
      </c>
      <c r="B638">
        <v>6.2017000000000007E-4</v>
      </c>
    </row>
    <row r="639" spans="1:2" x14ac:dyDescent="0.25">
      <c r="A639" s="6">
        <v>36727</v>
      </c>
      <c r="B639">
        <v>6.0895000000000003E-4</v>
      </c>
    </row>
    <row r="640" spans="1:2" x14ac:dyDescent="0.25">
      <c r="A640" s="6">
        <v>36728</v>
      </c>
      <c r="B640">
        <v>6.0690000000000006E-4</v>
      </c>
    </row>
    <row r="641" spans="1:2" x14ac:dyDescent="0.25">
      <c r="A641" s="6">
        <v>36731</v>
      </c>
      <c r="B641">
        <v>6.0723999999999999E-4</v>
      </c>
    </row>
    <row r="642" spans="1:2" x14ac:dyDescent="0.25">
      <c r="A642" s="6">
        <v>36732</v>
      </c>
      <c r="B642">
        <v>6.0588000000000005E-4</v>
      </c>
    </row>
    <row r="643" spans="1:2" x14ac:dyDescent="0.25">
      <c r="A643" s="6">
        <v>36733</v>
      </c>
      <c r="B643">
        <v>6.0588000000000005E-4</v>
      </c>
    </row>
    <row r="644" spans="1:2" x14ac:dyDescent="0.25">
      <c r="A644" s="6">
        <v>36734</v>
      </c>
      <c r="B644">
        <v>6.0519999999999997E-4</v>
      </c>
    </row>
    <row r="645" spans="1:2" x14ac:dyDescent="0.25">
      <c r="A645" s="6">
        <v>36735</v>
      </c>
      <c r="B645">
        <v>6.0417000000000001E-4</v>
      </c>
    </row>
    <row r="646" spans="1:2" x14ac:dyDescent="0.25">
      <c r="A646" s="6">
        <v>36738</v>
      </c>
      <c r="B646">
        <v>6.0247000000000002E-4</v>
      </c>
    </row>
    <row r="647" spans="1:2" x14ac:dyDescent="0.25">
      <c r="A647" s="6">
        <v>36739</v>
      </c>
      <c r="B647">
        <v>6.0281000000000006E-4</v>
      </c>
    </row>
    <row r="648" spans="1:2" x14ac:dyDescent="0.25">
      <c r="A648" s="6">
        <v>36740</v>
      </c>
      <c r="B648">
        <v>6.0417000000000001E-4</v>
      </c>
    </row>
    <row r="649" spans="1:2" x14ac:dyDescent="0.25">
      <c r="A649" s="6">
        <v>36741</v>
      </c>
      <c r="B649">
        <v>6.0382999999999997E-4</v>
      </c>
    </row>
    <row r="650" spans="1:2" x14ac:dyDescent="0.25">
      <c r="A650" s="6">
        <v>36742</v>
      </c>
      <c r="B650">
        <v>6.0417000000000001E-4</v>
      </c>
    </row>
    <row r="651" spans="1:2" x14ac:dyDescent="0.25">
      <c r="A651" s="6">
        <v>36745</v>
      </c>
      <c r="B651">
        <v>6.0554000000000001E-4</v>
      </c>
    </row>
    <row r="652" spans="1:2" x14ac:dyDescent="0.25">
      <c r="A652" s="6">
        <v>36746</v>
      </c>
      <c r="B652">
        <v>6.0588000000000005E-4</v>
      </c>
    </row>
    <row r="653" spans="1:2" x14ac:dyDescent="0.25">
      <c r="A653" s="6">
        <v>36747</v>
      </c>
      <c r="B653">
        <v>6.0758000000000003E-4</v>
      </c>
    </row>
    <row r="654" spans="1:2" x14ac:dyDescent="0.25">
      <c r="A654" s="6">
        <v>36748</v>
      </c>
      <c r="B654">
        <v>6.0826000000000001E-4</v>
      </c>
    </row>
    <row r="655" spans="1:2" x14ac:dyDescent="0.25">
      <c r="A655" s="6">
        <v>36749</v>
      </c>
      <c r="B655">
        <v>6.0963E-4</v>
      </c>
    </row>
    <row r="656" spans="1:2" x14ac:dyDescent="0.25">
      <c r="A656" s="6">
        <v>36752</v>
      </c>
      <c r="B656">
        <v>6.0963E-4</v>
      </c>
    </row>
    <row r="657" spans="1:2" x14ac:dyDescent="0.25">
      <c r="A657" s="6">
        <v>36753</v>
      </c>
      <c r="B657">
        <v>6.0519999999999997E-4</v>
      </c>
    </row>
    <row r="658" spans="1:2" x14ac:dyDescent="0.25">
      <c r="A658" s="6">
        <v>36754</v>
      </c>
      <c r="B658">
        <v>6.0417000000000001E-4</v>
      </c>
    </row>
    <row r="659" spans="1:2" x14ac:dyDescent="0.25">
      <c r="A659" s="6">
        <v>36755</v>
      </c>
      <c r="B659">
        <v>6.0723999999999999E-4</v>
      </c>
    </row>
    <row r="660" spans="1:2" x14ac:dyDescent="0.25">
      <c r="A660" s="6">
        <v>36756</v>
      </c>
      <c r="B660">
        <v>6.0963E-4</v>
      </c>
    </row>
    <row r="661" spans="1:2" x14ac:dyDescent="0.25">
      <c r="A661" s="6">
        <v>36759</v>
      </c>
      <c r="B661">
        <v>6.0859999999999994E-4</v>
      </c>
    </row>
    <row r="662" spans="1:2" x14ac:dyDescent="0.25">
      <c r="A662" s="6">
        <v>36760</v>
      </c>
      <c r="B662">
        <v>6.0928999999999996E-4</v>
      </c>
    </row>
    <row r="663" spans="1:2" x14ac:dyDescent="0.25">
      <c r="A663" s="6">
        <v>36761</v>
      </c>
      <c r="B663">
        <v>6.0826000000000001E-4</v>
      </c>
    </row>
    <row r="664" spans="1:2" x14ac:dyDescent="0.25">
      <c r="A664" s="6">
        <v>36762</v>
      </c>
      <c r="B664">
        <v>6.0963E-4</v>
      </c>
    </row>
    <row r="665" spans="1:2" x14ac:dyDescent="0.25">
      <c r="A665" s="6">
        <v>36763</v>
      </c>
      <c r="B665">
        <v>6.0963E-4</v>
      </c>
    </row>
    <row r="666" spans="1:2" x14ac:dyDescent="0.25">
      <c r="A666" s="6">
        <v>36766</v>
      </c>
      <c r="B666">
        <v>6.0963E-4</v>
      </c>
    </row>
    <row r="667" spans="1:2" x14ac:dyDescent="0.25">
      <c r="A667" s="6">
        <v>36767</v>
      </c>
      <c r="B667">
        <v>6.0963E-4</v>
      </c>
    </row>
    <row r="668" spans="1:2" x14ac:dyDescent="0.25">
      <c r="A668" s="6">
        <v>36768</v>
      </c>
      <c r="B668">
        <v>6.0519999999999997E-4</v>
      </c>
    </row>
    <row r="669" spans="1:2" x14ac:dyDescent="0.25">
      <c r="A669" s="6">
        <v>36769</v>
      </c>
      <c r="B669">
        <v>6.0315E-4</v>
      </c>
    </row>
    <row r="670" spans="1:2" x14ac:dyDescent="0.25">
      <c r="A670" s="6">
        <v>36770</v>
      </c>
      <c r="B670">
        <v>6.0281000000000006E-4</v>
      </c>
    </row>
    <row r="671" spans="1:2" x14ac:dyDescent="0.25">
      <c r="A671" s="6">
        <v>36773</v>
      </c>
      <c r="B671">
        <v>6.0281000000000006E-4</v>
      </c>
    </row>
    <row r="672" spans="1:2" x14ac:dyDescent="0.25">
      <c r="A672" s="6">
        <v>36774</v>
      </c>
      <c r="B672">
        <v>6.0247000000000002E-4</v>
      </c>
    </row>
    <row r="673" spans="1:2" x14ac:dyDescent="0.25">
      <c r="A673" s="6">
        <v>36775</v>
      </c>
      <c r="B673">
        <v>6.0723999999999999E-4</v>
      </c>
    </row>
    <row r="674" spans="1:2" x14ac:dyDescent="0.25">
      <c r="A674" s="6">
        <v>36777</v>
      </c>
      <c r="B674">
        <v>6.0791999999999997E-4</v>
      </c>
    </row>
    <row r="675" spans="1:2" x14ac:dyDescent="0.25">
      <c r="A675" s="6">
        <v>36780</v>
      </c>
      <c r="B675">
        <v>6.0895000000000003E-4</v>
      </c>
    </row>
    <row r="676" spans="1:2" x14ac:dyDescent="0.25">
      <c r="A676" s="6">
        <v>36781</v>
      </c>
      <c r="B676">
        <v>6.0928999999999996E-4</v>
      </c>
    </row>
    <row r="677" spans="1:2" x14ac:dyDescent="0.25">
      <c r="A677" s="6">
        <v>36782</v>
      </c>
      <c r="B677">
        <v>6.0963E-4</v>
      </c>
    </row>
    <row r="678" spans="1:2" x14ac:dyDescent="0.25">
      <c r="A678" s="6">
        <v>36783</v>
      </c>
      <c r="B678">
        <v>6.0963E-4</v>
      </c>
    </row>
    <row r="679" spans="1:2" x14ac:dyDescent="0.25">
      <c r="A679" s="6">
        <v>36784</v>
      </c>
      <c r="B679">
        <v>6.0963E-4</v>
      </c>
    </row>
    <row r="680" spans="1:2" x14ac:dyDescent="0.25">
      <c r="A680" s="6">
        <v>36787</v>
      </c>
      <c r="B680">
        <v>6.0963E-4</v>
      </c>
    </row>
    <row r="681" spans="1:2" x14ac:dyDescent="0.25">
      <c r="A681" s="6">
        <v>36788</v>
      </c>
      <c r="B681">
        <v>6.0928999999999996E-4</v>
      </c>
    </row>
    <row r="682" spans="1:2" x14ac:dyDescent="0.25">
      <c r="A682" s="6">
        <v>36789</v>
      </c>
      <c r="B682">
        <v>6.0963E-4</v>
      </c>
    </row>
    <row r="683" spans="1:2" x14ac:dyDescent="0.25">
      <c r="A683" s="6">
        <v>36790</v>
      </c>
      <c r="B683">
        <v>6.0963E-4</v>
      </c>
    </row>
    <row r="684" spans="1:2" x14ac:dyDescent="0.25">
      <c r="A684" s="6">
        <v>36791</v>
      </c>
      <c r="B684">
        <v>6.0963E-4</v>
      </c>
    </row>
    <row r="685" spans="1:2" x14ac:dyDescent="0.25">
      <c r="A685" s="6">
        <v>36794</v>
      </c>
      <c r="B685">
        <v>6.0963E-4</v>
      </c>
    </row>
    <row r="686" spans="1:2" x14ac:dyDescent="0.25">
      <c r="A686" s="6">
        <v>36795</v>
      </c>
      <c r="B686">
        <v>6.0963E-4</v>
      </c>
    </row>
    <row r="687" spans="1:2" x14ac:dyDescent="0.25">
      <c r="A687" s="6">
        <v>36796</v>
      </c>
      <c r="B687">
        <v>6.0928999999999996E-4</v>
      </c>
    </row>
    <row r="688" spans="1:2" x14ac:dyDescent="0.25">
      <c r="A688" s="6">
        <v>36797</v>
      </c>
      <c r="B688">
        <v>6.0928999999999996E-4</v>
      </c>
    </row>
    <row r="689" spans="1:2" x14ac:dyDescent="0.25">
      <c r="A689" s="6">
        <v>36798</v>
      </c>
      <c r="B689">
        <v>6.0963E-4</v>
      </c>
    </row>
    <row r="690" spans="1:2" x14ac:dyDescent="0.25">
      <c r="A690" s="6">
        <v>36801</v>
      </c>
      <c r="B690">
        <v>6.0928999999999996E-4</v>
      </c>
    </row>
    <row r="691" spans="1:2" x14ac:dyDescent="0.25">
      <c r="A691" s="6">
        <v>36802</v>
      </c>
      <c r="B691">
        <v>6.0859999999999994E-4</v>
      </c>
    </row>
    <row r="692" spans="1:2" x14ac:dyDescent="0.25">
      <c r="A692" s="6">
        <v>36803</v>
      </c>
      <c r="B692">
        <v>6.0963E-4</v>
      </c>
    </row>
    <row r="693" spans="1:2" x14ac:dyDescent="0.25">
      <c r="A693" s="6">
        <v>36804</v>
      </c>
      <c r="B693">
        <v>6.0928999999999996E-4</v>
      </c>
    </row>
    <row r="694" spans="1:2" x14ac:dyDescent="0.25">
      <c r="A694" s="6">
        <v>36805</v>
      </c>
      <c r="B694">
        <v>6.0963E-4</v>
      </c>
    </row>
    <row r="695" spans="1:2" x14ac:dyDescent="0.25">
      <c r="A695" s="6">
        <v>36808</v>
      </c>
      <c r="B695">
        <v>6.0928999999999996E-4</v>
      </c>
    </row>
    <row r="696" spans="1:2" x14ac:dyDescent="0.25">
      <c r="A696" s="6">
        <v>36809</v>
      </c>
      <c r="B696">
        <v>6.0928999999999996E-4</v>
      </c>
    </row>
    <row r="697" spans="1:2" x14ac:dyDescent="0.25">
      <c r="A697" s="6">
        <v>36810</v>
      </c>
      <c r="B697">
        <v>6.0963E-4</v>
      </c>
    </row>
    <row r="698" spans="1:2" x14ac:dyDescent="0.25">
      <c r="A698" s="6">
        <v>36812</v>
      </c>
      <c r="B698">
        <v>6.0963E-4</v>
      </c>
    </row>
    <row r="699" spans="1:2" x14ac:dyDescent="0.25">
      <c r="A699" s="6">
        <v>36815</v>
      </c>
      <c r="B699">
        <v>6.0963E-4</v>
      </c>
    </row>
    <row r="700" spans="1:2" x14ac:dyDescent="0.25">
      <c r="A700" s="6">
        <v>36816</v>
      </c>
      <c r="B700">
        <v>6.0963E-4</v>
      </c>
    </row>
    <row r="701" spans="1:2" x14ac:dyDescent="0.25">
      <c r="A701" s="6">
        <v>36817</v>
      </c>
      <c r="B701">
        <v>6.0963E-4</v>
      </c>
    </row>
    <row r="702" spans="1:2" x14ac:dyDescent="0.25">
      <c r="A702" s="6">
        <v>36818</v>
      </c>
      <c r="B702">
        <v>6.0963E-4</v>
      </c>
    </row>
    <row r="703" spans="1:2" x14ac:dyDescent="0.25">
      <c r="A703" s="6">
        <v>36819</v>
      </c>
      <c r="B703">
        <v>6.0963E-4</v>
      </c>
    </row>
    <row r="704" spans="1:2" x14ac:dyDescent="0.25">
      <c r="A704" s="6">
        <v>36822</v>
      </c>
      <c r="B704">
        <v>6.0963E-4</v>
      </c>
    </row>
    <row r="705" spans="1:2" x14ac:dyDescent="0.25">
      <c r="A705" s="6">
        <v>36823</v>
      </c>
      <c r="B705">
        <v>6.0963E-4</v>
      </c>
    </row>
    <row r="706" spans="1:2" x14ac:dyDescent="0.25">
      <c r="A706" s="6">
        <v>36824</v>
      </c>
      <c r="B706">
        <v>6.0963E-4</v>
      </c>
    </row>
    <row r="707" spans="1:2" x14ac:dyDescent="0.25">
      <c r="A707" s="6">
        <v>36825</v>
      </c>
      <c r="B707">
        <v>6.0963E-4</v>
      </c>
    </row>
    <row r="708" spans="1:2" x14ac:dyDescent="0.25">
      <c r="A708" s="6">
        <v>36826</v>
      </c>
      <c r="B708">
        <v>6.0963E-4</v>
      </c>
    </row>
    <row r="709" spans="1:2" x14ac:dyDescent="0.25">
      <c r="A709" s="6">
        <v>36829</v>
      </c>
      <c r="B709">
        <v>6.0963E-4</v>
      </c>
    </row>
    <row r="710" spans="1:2" x14ac:dyDescent="0.25">
      <c r="A710" s="6">
        <v>36830</v>
      </c>
      <c r="B710">
        <v>6.0928999999999996E-4</v>
      </c>
    </row>
    <row r="711" spans="1:2" x14ac:dyDescent="0.25">
      <c r="A711" s="6">
        <v>36831</v>
      </c>
      <c r="B711">
        <v>6.0723999999999999E-4</v>
      </c>
    </row>
    <row r="712" spans="1:2" x14ac:dyDescent="0.25">
      <c r="A712" s="6">
        <v>36833</v>
      </c>
      <c r="B712">
        <v>6.0451999999999999E-4</v>
      </c>
    </row>
    <row r="713" spans="1:2" x14ac:dyDescent="0.25">
      <c r="A713" s="6">
        <v>36836</v>
      </c>
      <c r="B713">
        <v>6.0281000000000006E-4</v>
      </c>
    </row>
    <row r="714" spans="1:2" x14ac:dyDescent="0.25">
      <c r="A714" s="6">
        <v>36837</v>
      </c>
      <c r="B714">
        <v>6.0417000000000001E-4</v>
      </c>
    </row>
    <row r="715" spans="1:2" x14ac:dyDescent="0.25">
      <c r="A715" s="6">
        <v>36838</v>
      </c>
      <c r="B715">
        <v>6.0621999999999998E-4</v>
      </c>
    </row>
    <row r="716" spans="1:2" x14ac:dyDescent="0.25">
      <c r="A716" s="6">
        <v>36839</v>
      </c>
      <c r="B716">
        <v>6.0758000000000003E-4</v>
      </c>
    </row>
    <row r="717" spans="1:2" x14ac:dyDescent="0.25">
      <c r="A717" s="6">
        <v>36840</v>
      </c>
      <c r="B717">
        <v>6.0963E-4</v>
      </c>
    </row>
    <row r="718" spans="1:2" x14ac:dyDescent="0.25">
      <c r="A718" s="6">
        <v>36843</v>
      </c>
      <c r="B718">
        <v>6.0963E-4</v>
      </c>
    </row>
    <row r="719" spans="1:2" x14ac:dyDescent="0.25">
      <c r="A719" s="6">
        <v>36844</v>
      </c>
      <c r="B719">
        <v>6.0963E-4</v>
      </c>
    </row>
    <row r="720" spans="1:2" x14ac:dyDescent="0.25">
      <c r="A720" s="6">
        <v>36846</v>
      </c>
      <c r="B720">
        <v>6.0963E-4</v>
      </c>
    </row>
    <row r="721" spans="1:2" x14ac:dyDescent="0.25">
      <c r="A721" s="6">
        <v>36847</v>
      </c>
      <c r="B721">
        <v>6.0963E-4</v>
      </c>
    </row>
    <row r="722" spans="1:2" x14ac:dyDescent="0.25">
      <c r="A722" s="6">
        <v>36850</v>
      </c>
      <c r="B722">
        <v>6.0963E-4</v>
      </c>
    </row>
    <row r="723" spans="1:2" x14ac:dyDescent="0.25">
      <c r="A723" s="6">
        <v>36851</v>
      </c>
      <c r="B723">
        <v>6.0928999999999996E-4</v>
      </c>
    </row>
    <row r="724" spans="1:2" x14ac:dyDescent="0.25">
      <c r="A724" s="6">
        <v>36852</v>
      </c>
      <c r="B724">
        <v>6.0451999999999999E-4</v>
      </c>
    </row>
    <row r="725" spans="1:2" x14ac:dyDescent="0.25">
      <c r="A725" s="6">
        <v>36853</v>
      </c>
      <c r="B725">
        <v>6.0486000000000003E-4</v>
      </c>
    </row>
    <row r="726" spans="1:2" x14ac:dyDescent="0.25">
      <c r="A726" s="6">
        <v>36854</v>
      </c>
      <c r="B726">
        <v>6.0382999999999997E-4</v>
      </c>
    </row>
    <row r="727" spans="1:2" x14ac:dyDescent="0.25">
      <c r="A727" s="6">
        <v>36857</v>
      </c>
      <c r="B727">
        <v>6.0451999999999999E-4</v>
      </c>
    </row>
    <row r="728" spans="1:2" x14ac:dyDescent="0.25">
      <c r="A728" s="6">
        <v>36858</v>
      </c>
      <c r="B728">
        <v>6.0519999999999997E-4</v>
      </c>
    </row>
    <row r="729" spans="1:2" x14ac:dyDescent="0.25">
      <c r="A729" s="6">
        <v>36859</v>
      </c>
      <c r="B729">
        <v>6.0349000000000004E-4</v>
      </c>
    </row>
    <row r="730" spans="1:2" x14ac:dyDescent="0.25">
      <c r="A730" s="6">
        <v>36860</v>
      </c>
      <c r="B730">
        <v>6.0281000000000006E-4</v>
      </c>
    </row>
    <row r="731" spans="1:2" x14ac:dyDescent="0.25">
      <c r="A731" s="6">
        <v>36861</v>
      </c>
      <c r="B731">
        <v>6.0281000000000006E-4</v>
      </c>
    </row>
    <row r="732" spans="1:2" x14ac:dyDescent="0.25">
      <c r="A732" s="6">
        <v>36864</v>
      </c>
      <c r="B732">
        <v>6.0212999999999998E-4</v>
      </c>
    </row>
    <row r="733" spans="1:2" x14ac:dyDescent="0.25">
      <c r="A733" s="6">
        <v>36865</v>
      </c>
      <c r="B733">
        <v>6.0179000000000005E-4</v>
      </c>
    </row>
    <row r="734" spans="1:2" x14ac:dyDescent="0.25">
      <c r="A734" s="6">
        <v>36866</v>
      </c>
      <c r="B734">
        <v>6.0179000000000005E-4</v>
      </c>
    </row>
    <row r="735" spans="1:2" x14ac:dyDescent="0.25">
      <c r="A735" s="6">
        <v>36867</v>
      </c>
      <c r="B735">
        <v>6.0145000000000001E-4</v>
      </c>
    </row>
    <row r="736" spans="1:2" x14ac:dyDescent="0.25">
      <c r="A736" s="6">
        <v>36868</v>
      </c>
      <c r="B736">
        <v>6.0145000000000001E-4</v>
      </c>
    </row>
    <row r="737" spans="1:3" x14ac:dyDescent="0.25">
      <c r="A737" s="6">
        <v>36871</v>
      </c>
      <c r="B737">
        <v>6.0109999999999992E-4</v>
      </c>
    </row>
    <row r="738" spans="1:3" x14ac:dyDescent="0.25">
      <c r="A738" s="6">
        <v>36872</v>
      </c>
      <c r="B738">
        <v>6.0075999999999999E-4</v>
      </c>
    </row>
    <row r="739" spans="1:3" x14ac:dyDescent="0.25">
      <c r="A739" s="6">
        <v>36873</v>
      </c>
      <c r="B739">
        <v>6.0109999999999992E-4</v>
      </c>
    </row>
    <row r="740" spans="1:3" x14ac:dyDescent="0.25">
      <c r="A740" s="6">
        <v>36874</v>
      </c>
      <c r="B740">
        <v>6.0075999999999999E-4</v>
      </c>
    </row>
    <row r="741" spans="1:3" x14ac:dyDescent="0.25">
      <c r="A741" s="6">
        <v>36875</v>
      </c>
      <c r="B741">
        <v>6.0041999999999995E-4</v>
      </c>
    </row>
    <row r="742" spans="1:3" x14ac:dyDescent="0.25">
      <c r="A742" s="6">
        <v>36878</v>
      </c>
      <c r="B742">
        <v>6.0008000000000001E-4</v>
      </c>
    </row>
    <row r="743" spans="1:3" x14ac:dyDescent="0.25">
      <c r="A743" s="6">
        <v>36879</v>
      </c>
      <c r="B743">
        <v>5.9973999999999997E-4</v>
      </c>
    </row>
    <row r="744" spans="1:3" x14ac:dyDescent="0.25">
      <c r="A744" s="6">
        <v>36880</v>
      </c>
      <c r="B744">
        <v>5.9973999999999997E-4</v>
      </c>
    </row>
    <row r="745" spans="1:3" x14ac:dyDescent="0.25">
      <c r="A745" s="6">
        <v>36881</v>
      </c>
      <c r="B745">
        <v>5.8297999999999998E-4</v>
      </c>
    </row>
    <row r="746" spans="1:3" x14ac:dyDescent="0.25">
      <c r="A746" s="6">
        <v>36882</v>
      </c>
      <c r="B746">
        <v>5.8297999999999998E-4</v>
      </c>
    </row>
    <row r="747" spans="1:3" x14ac:dyDescent="0.25">
      <c r="A747" s="6">
        <v>36886</v>
      </c>
      <c r="B747">
        <v>5.8332000000000002E-4</v>
      </c>
    </row>
    <row r="748" spans="1:3" x14ac:dyDescent="0.25">
      <c r="A748" s="6">
        <v>36887</v>
      </c>
      <c r="B748">
        <v>5.8229000000000006E-4</v>
      </c>
    </row>
    <row r="749" spans="1:3" x14ac:dyDescent="0.25">
      <c r="A749" s="6">
        <v>36888</v>
      </c>
      <c r="B749">
        <v>5.8366000000000006E-4</v>
      </c>
    </row>
    <row r="750" spans="1:3" x14ac:dyDescent="0.25">
      <c r="A750" s="6">
        <v>36889</v>
      </c>
      <c r="B750">
        <v>5.8366000000000006E-4</v>
      </c>
    </row>
    <row r="751" spans="1:3" x14ac:dyDescent="0.25">
      <c r="A751" s="6">
        <v>36893</v>
      </c>
      <c r="B751">
        <v>5.8399999999999999E-4</v>
      </c>
      <c r="C751" t="e">
        <f>#REF!/#REF!-1</f>
        <v>#REF!</v>
      </c>
    </row>
    <row r="752" spans="1:3" x14ac:dyDescent="0.25">
      <c r="A752" s="6">
        <v>36894</v>
      </c>
      <c r="B752">
        <v>5.8194999999999992E-4</v>
      </c>
    </row>
    <row r="753" spans="1:2" x14ac:dyDescent="0.25">
      <c r="A753" s="6">
        <v>36895</v>
      </c>
      <c r="B753">
        <v>5.8332000000000002E-4</v>
      </c>
    </row>
    <row r="754" spans="1:2" x14ac:dyDescent="0.25">
      <c r="A754" s="6">
        <v>36896</v>
      </c>
      <c r="B754">
        <v>5.8229000000000006E-4</v>
      </c>
    </row>
    <row r="755" spans="1:2" x14ac:dyDescent="0.25">
      <c r="A755" s="6">
        <v>36899</v>
      </c>
      <c r="B755">
        <v>5.8229000000000006E-4</v>
      </c>
    </row>
    <row r="756" spans="1:2" x14ac:dyDescent="0.25">
      <c r="A756" s="6">
        <v>36900</v>
      </c>
      <c r="B756">
        <v>5.8229000000000006E-4</v>
      </c>
    </row>
    <row r="757" spans="1:2" x14ac:dyDescent="0.25">
      <c r="A757" s="6">
        <v>36901</v>
      </c>
      <c r="B757">
        <v>5.7749000000000006E-4</v>
      </c>
    </row>
    <row r="758" spans="1:2" x14ac:dyDescent="0.25">
      <c r="A758" s="6">
        <v>36902</v>
      </c>
      <c r="B758">
        <v>5.7713999999999997E-4</v>
      </c>
    </row>
    <row r="759" spans="1:2" x14ac:dyDescent="0.25">
      <c r="A759" s="6">
        <v>36903</v>
      </c>
      <c r="B759">
        <v>5.7713999999999997E-4</v>
      </c>
    </row>
    <row r="760" spans="1:2" x14ac:dyDescent="0.25">
      <c r="A760" s="6">
        <v>36906</v>
      </c>
      <c r="B760">
        <v>5.7713999999999997E-4</v>
      </c>
    </row>
    <row r="761" spans="1:2" x14ac:dyDescent="0.25">
      <c r="A761" s="6">
        <v>36907</v>
      </c>
      <c r="B761">
        <v>5.7713999999999997E-4</v>
      </c>
    </row>
    <row r="762" spans="1:2" x14ac:dyDescent="0.25">
      <c r="A762" s="6">
        <v>36908</v>
      </c>
      <c r="B762">
        <v>5.7507999999999995E-4</v>
      </c>
    </row>
    <row r="763" spans="1:2" x14ac:dyDescent="0.25">
      <c r="A763" s="6">
        <v>36909</v>
      </c>
      <c r="B763">
        <v>5.6545E-4</v>
      </c>
    </row>
    <row r="764" spans="1:2" x14ac:dyDescent="0.25">
      <c r="A764" s="6">
        <v>36910</v>
      </c>
      <c r="B764">
        <v>5.6510999999999996E-4</v>
      </c>
    </row>
    <row r="765" spans="1:2" x14ac:dyDescent="0.25">
      <c r="A765" s="6">
        <v>36913</v>
      </c>
      <c r="B765">
        <v>5.6475999999999998E-4</v>
      </c>
    </row>
    <row r="766" spans="1:2" x14ac:dyDescent="0.25">
      <c r="A766" s="6">
        <v>36914</v>
      </c>
      <c r="B766">
        <v>5.6304E-4</v>
      </c>
    </row>
    <row r="767" spans="1:2" x14ac:dyDescent="0.25">
      <c r="A767" s="6">
        <v>36915</v>
      </c>
      <c r="B767">
        <v>5.6063E-4</v>
      </c>
    </row>
    <row r="768" spans="1:2" x14ac:dyDescent="0.25">
      <c r="A768" s="6">
        <v>36916</v>
      </c>
      <c r="B768">
        <v>5.6028000000000002E-4</v>
      </c>
    </row>
    <row r="769" spans="1:2" x14ac:dyDescent="0.25">
      <c r="A769" s="6">
        <v>36917</v>
      </c>
      <c r="B769">
        <v>5.5993999999999998E-4</v>
      </c>
    </row>
    <row r="770" spans="1:2" x14ac:dyDescent="0.25">
      <c r="A770" s="6">
        <v>36920</v>
      </c>
      <c r="B770">
        <v>5.5993999999999998E-4</v>
      </c>
    </row>
    <row r="771" spans="1:2" x14ac:dyDescent="0.25">
      <c r="A771" s="6">
        <v>36921</v>
      </c>
      <c r="B771">
        <v>5.5960000000000005E-4</v>
      </c>
    </row>
    <row r="772" spans="1:2" x14ac:dyDescent="0.25">
      <c r="A772" s="6">
        <v>36922</v>
      </c>
      <c r="B772">
        <v>5.5891000000000003E-4</v>
      </c>
    </row>
    <row r="773" spans="1:2" x14ac:dyDescent="0.25">
      <c r="A773" s="6">
        <v>36923</v>
      </c>
      <c r="B773">
        <v>5.5891000000000003E-4</v>
      </c>
    </row>
    <row r="774" spans="1:2" x14ac:dyDescent="0.25">
      <c r="A774" s="6">
        <v>36924</v>
      </c>
      <c r="B774">
        <v>5.5822000000000001E-4</v>
      </c>
    </row>
    <row r="775" spans="1:2" x14ac:dyDescent="0.25">
      <c r="A775" s="6">
        <v>36927</v>
      </c>
      <c r="B775">
        <v>5.5822000000000001E-4</v>
      </c>
    </row>
    <row r="776" spans="1:2" x14ac:dyDescent="0.25">
      <c r="A776" s="6">
        <v>36928</v>
      </c>
      <c r="B776">
        <v>5.5993999999999998E-4</v>
      </c>
    </row>
    <row r="777" spans="1:2" x14ac:dyDescent="0.25">
      <c r="A777" s="6">
        <v>36929</v>
      </c>
      <c r="B777">
        <v>5.6201000000000005E-4</v>
      </c>
    </row>
    <row r="778" spans="1:2" x14ac:dyDescent="0.25">
      <c r="A778" s="6">
        <v>36930</v>
      </c>
      <c r="B778">
        <v>5.6373000000000003E-4</v>
      </c>
    </row>
    <row r="779" spans="1:2" x14ac:dyDescent="0.25">
      <c r="A779" s="6">
        <v>36931</v>
      </c>
      <c r="B779">
        <v>5.6441999999999994E-4</v>
      </c>
    </row>
    <row r="780" spans="1:2" x14ac:dyDescent="0.25">
      <c r="A780" s="6">
        <v>36934</v>
      </c>
      <c r="B780">
        <v>5.6304E-4</v>
      </c>
    </row>
    <row r="781" spans="1:2" x14ac:dyDescent="0.25">
      <c r="A781" s="6">
        <v>36935</v>
      </c>
      <c r="B781">
        <v>5.5993999999999998E-4</v>
      </c>
    </row>
    <row r="782" spans="1:2" x14ac:dyDescent="0.25">
      <c r="A782" s="6">
        <v>36936</v>
      </c>
      <c r="B782">
        <v>5.5718E-4</v>
      </c>
    </row>
    <row r="783" spans="1:2" x14ac:dyDescent="0.25">
      <c r="A783" s="6">
        <v>36937</v>
      </c>
      <c r="B783">
        <v>5.6373000000000003E-4</v>
      </c>
    </row>
    <row r="784" spans="1:2" x14ac:dyDescent="0.25">
      <c r="A784" s="6">
        <v>36938</v>
      </c>
      <c r="B784">
        <v>5.6269999999999996E-4</v>
      </c>
    </row>
    <row r="785" spans="1:2" x14ac:dyDescent="0.25">
      <c r="A785" s="6">
        <v>36941</v>
      </c>
      <c r="B785">
        <v>5.6063E-4</v>
      </c>
    </row>
    <row r="786" spans="1:2" x14ac:dyDescent="0.25">
      <c r="A786" s="6">
        <v>36942</v>
      </c>
      <c r="B786">
        <v>5.6545E-4</v>
      </c>
    </row>
    <row r="787" spans="1:2" x14ac:dyDescent="0.25">
      <c r="A787" s="6">
        <v>36943</v>
      </c>
      <c r="B787">
        <v>5.6373000000000003E-4</v>
      </c>
    </row>
    <row r="788" spans="1:2" x14ac:dyDescent="0.25">
      <c r="A788" s="6">
        <v>36944</v>
      </c>
      <c r="B788">
        <v>5.6373000000000003E-4</v>
      </c>
    </row>
    <row r="789" spans="1:2" x14ac:dyDescent="0.25">
      <c r="A789" s="6">
        <v>36945</v>
      </c>
      <c r="B789">
        <v>5.6475999999999998E-4</v>
      </c>
    </row>
    <row r="790" spans="1:2" x14ac:dyDescent="0.25">
      <c r="A790" s="6">
        <v>36950</v>
      </c>
      <c r="B790">
        <v>5.5960000000000005E-4</v>
      </c>
    </row>
    <row r="791" spans="1:2" x14ac:dyDescent="0.25">
      <c r="A791" s="6">
        <v>36951</v>
      </c>
      <c r="B791">
        <v>5.5891000000000003E-4</v>
      </c>
    </row>
    <row r="792" spans="1:2" x14ac:dyDescent="0.25">
      <c r="A792" s="6">
        <v>36952</v>
      </c>
      <c r="B792">
        <v>5.5856000000000005E-4</v>
      </c>
    </row>
    <row r="793" spans="1:2" x14ac:dyDescent="0.25">
      <c r="A793" s="6">
        <v>36955</v>
      </c>
      <c r="B793">
        <v>5.6063E-4</v>
      </c>
    </row>
    <row r="794" spans="1:2" x14ac:dyDescent="0.25">
      <c r="A794" s="6">
        <v>36956</v>
      </c>
      <c r="B794">
        <v>5.5891000000000003E-4</v>
      </c>
    </row>
    <row r="795" spans="1:2" x14ac:dyDescent="0.25">
      <c r="A795" s="6">
        <v>36957</v>
      </c>
      <c r="B795">
        <v>5.6132000000000003E-4</v>
      </c>
    </row>
    <row r="796" spans="1:2" x14ac:dyDescent="0.25">
      <c r="A796" s="6">
        <v>36958</v>
      </c>
      <c r="B796">
        <v>5.6201000000000005E-4</v>
      </c>
    </row>
    <row r="797" spans="1:2" x14ac:dyDescent="0.25">
      <c r="A797" s="6">
        <v>36959</v>
      </c>
      <c r="B797">
        <v>5.5856000000000005E-4</v>
      </c>
    </row>
    <row r="798" spans="1:2" x14ac:dyDescent="0.25">
      <c r="A798" s="6">
        <v>36962</v>
      </c>
      <c r="B798">
        <v>5.5787000000000002E-4</v>
      </c>
    </row>
    <row r="799" spans="1:2" x14ac:dyDescent="0.25">
      <c r="A799" s="6">
        <v>36963</v>
      </c>
      <c r="B799">
        <v>5.5925000000000007E-4</v>
      </c>
    </row>
    <row r="800" spans="1:2" x14ac:dyDescent="0.25">
      <c r="A800" s="6">
        <v>36964</v>
      </c>
      <c r="B800">
        <v>5.5925000000000007E-4</v>
      </c>
    </row>
    <row r="801" spans="1:2" x14ac:dyDescent="0.25">
      <c r="A801" s="6">
        <v>36965</v>
      </c>
      <c r="B801">
        <v>5.5856000000000005E-4</v>
      </c>
    </row>
    <row r="802" spans="1:2" x14ac:dyDescent="0.25">
      <c r="A802" s="6">
        <v>36966</v>
      </c>
      <c r="B802">
        <v>5.6304E-4</v>
      </c>
    </row>
    <row r="803" spans="1:2" x14ac:dyDescent="0.25">
      <c r="A803" s="6">
        <v>36969</v>
      </c>
      <c r="B803">
        <v>5.6579999999999998E-4</v>
      </c>
    </row>
    <row r="804" spans="1:2" x14ac:dyDescent="0.25">
      <c r="A804" s="6">
        <v>36970</v>
      </c>
      <c r="B804">
        <v>5.6682999999999994E-4</v>
      </c>
    </row>
    <row r="805" spans="1:2" x14ac:dyDescent="0.25">
      <c r="A805" s="6">
        <v>36971</v>
      </c>
      <c r="B805">
        <v>5.6682999999999994E-4</v>
      </c>
    </row>
    <row r="806" spans="1:2" x14ac:dyDescent="0.25">
      <c r="A806" s="6">
        <v>36972</v>
      </c>
      <c r="B806">
        <v>5.8399999999999999E-4</v>
      </c>
    </row>
    <row r="807" spans="1:2" x14ac:dyDescent="0.25">
      <c r="A807" s="6">
        <v>36973</v>
      </c>
      <c r="B807">
        <v>5.8399999999999999E-4</v>
      </c>
    </row>
    <row r="808" spans="1:2" x14ac:dyDescent="0.25">
      <c r="A808" s="6">
        <v>36976</v>
      </c>
      <c r="B808">
        <v>5.8399999999999999E-4</v>
      </c>
    </row>
    <row r="809" spans="1:2" x14ac:dyDescent="0.25">
      <c r="A809" s="6">
        <v>36977</v>
      </c>
      <c r="B809">
        <v>5.8399999999999999E-4</v>
      </c>
    </row>
    <row r="810" spans="1:2" x14ac:dyDescent="0.25">
      <c r="A810" s="6">
        <v>36978</v>
      </c>
      <c r="B810">
        <v>5.8399999999999999E-4</v>
      </c>
    </row>
    <row r="811" spans="1:2" x14ac:dyDescent="0.25">
      <c r="A811" s="6">
        <v>36979</v>
      </c>
      <c r="B811">
        <v>5.8366000000000006E-4</v>
      </c>
    </row>
    <row r="812" spans="1:2" x14ac:dyDescent="0.25">
      <c r="A812" s="6">
        <v>36980</v>
      </c>
      <c r="B812">
        <v>5.8366000000000006E-4</v>
      </c>
    </row>
    <row r="813" spans="1:2" x14ac:dyDescent="0.25">
      <c r="A813" s="6">
        <v>36983</v>
      </c>
      <c r="B813">
        <v>5.8332000000000002E-4</v>
      </c>
    </row>
    <row r="814" spans="1:2" x14ac:dyDescent="0.25">
      <c r="A814" s="6">
        <v>36984</v>
      </c>
      <c r="B814">
        <v>5.8263E-4</v>
      </c>
    </row>
    <row r="815" spans="1:2" x14ac:dyDescent="0.25">
      <c r="A815" s="6">
        <v>36985</v>
      </c>
      <c r="B815">
        <v>5.8263E-4</v>
      </c>
    </row>
    <row r="816" spans="1:2" x14ac:dyDescent="0.25">
      <c r="A816" s="6">
        <v>36986</v>
      </c>
      <c r="B816">
        <v>5.8297999999999998E-4</v>
      </c>
    </row>
    <row r="817" spans="1:2" x14ac:dyDescent="0.25">
      <c r="A817" s="6">
        <v>36987</v>
      </c>
      <c r="B817">
        <v>5.8332000000000002E-4</v>
      </c>
    </row>
    <row r="818" spans="1:2" x14ac:dyDescent="0.25">
      <c r="A818" s="6">
        <v>36990</v>
      </c>
      <c r="B818">
        <v>5.8263E-4</v>
      </c>
    </row>
    <row r="819" spans="1:2" x14ac:dyDescent="0.25">
      <c r="A819" s="6">
        <v>36991</v>
      </c>
      <c r="B819">
        <v>5.8366000000000006E-4</v>
      </c>
    </row>
    <row r="820" spans="1:2" x14ac:dyDescent="0.25">
      <c r="A820" s="6">
        <v>36992</v>
      </c>
      <c r="B820">
        <v>5.8297999999999998E-4</v>
      </c>
    </row>
    <row r="821" spans="1:2" x14ac:dyDescent="0.25">
      <c r="A821" s="6">
        <v>36993</v>
      </c>
      <c r="B821">
        <v>5.8399999999999999E-4</v>
      </c>
    </row>
    <row r="822" spans="1:2" x14ac:dyDescent="0.25">
      <c r="A822" s="6">
        <v>36997</v>
      </c>
      <c r="B822">
        <v>5.8399999999999999E-4</v>
      </c>
    </row>
    <row r="823" spans="1:2" x14ac:dyDescent="0.25">
      <c r="A823" s="6">
        <v>36998</v>
      </c>
      <c r="B823">
        <v>5.8399999999999999E-4</v>
      </c>
    </row>
    <row r="824" spans="1:2" x14ac:dyDescent="0.25">
      <c r="A824" s="6">
        <v>36999</v>
      </c>
      <c r="B824">
        <v>5.8469000000000001E-4</v>
      </c>
    </row>
    <row r="825" spans="1:2" x14ac:dyDescent="0.25">
      <c r="A825" s="6">
        <v>37000</v>
      </c>
      <c r="B825">
        <v>6.0109999999999992E-4</v>
      </c>
    </row>
    <row r="826" spans="1:2" x14ac:dyDescent="0.25">
      <c r="A826" s="6">
        <v>37001</v>
      </c>
      <c r="B826">
        <v>5.9940000000000004E-4</v>
      </c>
    </row>
    <row r="827" spans="1:2" x14ac:dyDescent="0.25">
      <c r="A827" s="6">
        <v>37004</v>
      </c>
      <c r="B827">
        <v>5.9940000000000004E-4</v>
      </c>
    </row>
    <row r="828" spans="1:2" x14ac:dyDescent="0.25">
      <c r="A828" s="6">
        <v>37005</v>
      </c>
      <c r="B828">
        <v>5.9973999999999997E-4</v>
      </c>
    </row>
    <row r="829" spans="1:2" x14ac:dyDescent="0.25">
      <c r="A829" s="6">
        <v>37006</v>
      </c>
      <c r="B829">
        <v>5.9940000000000004E-4</v>
      </c>
    </row>
    <row r="830" spans="1:2" x14ac:dyDescent="0.25">
      <c r="A830" s="6">
        <v>37007</v>
      </c>
      <c r="B830">
        <v>5.9973999999999997E-4</v>
      </c>
    </row>
    <row r="831" spans="1:2" x14ac:dyDescent="0.25">
      <c r="A831" s="6">
        <v>37008</v>
      </c>
      <c r="B831">
        <v>5.9906E-4</v>
      </c>
    </row>
    <row r="832" spans="1:2" x14ac:dyDescent="0.25">
      <c r="A832" s="6">
        <v>37011</v>
      </c>
      <c r="B832">
        <v>5.9871000000000002E-4</v>
      </c>
    </row>
    <row r="833" spans="1:2" x14ac:dyDescent="0.25">
      <c r="A833" s="6">
        <v>37013</v>
      </c>
      <c r="B833">
        <v>5.9769000000000001E-4</v>
      </c>
    </row>
    <row r="834" spans="1:2" x14ac:dyDescent="0.25">
      <c r="A834" s="6">
        <v>37014</v>
      </c>
      <c r="B834">
        <v>5.9803000000000005E-4</v>
      </c>
    </row>
    <row r="835" spans="1:2" x14ac:dyDescent="0.25">
      <c r="A835" s="6">
        <v>37015</v>
      </c>
      <c r="B835">
        <v>5.9906E-4</v>
      </c>
    </row>
    <row r="836" spans="1:2" x14ac:dyDescent="0.25">
      <c r="A836" s="6">
        <v>37018</v>
      </c>
      <c r="B836">
        <v>5.9871000000000002E-4</v>
      </c>
    </row>
    <row r="837" spans="1:2" x14ac:dyDescent="0.25">
      <c r="A837" s="6">
        <v>37019</v>
      </c>
      <c r="B837">
        <v>5.9940000000000004E-4</v>
      </c>
    </row>
    <row r="838" spans="1:2" x14ac:dyDescent="0.25">
      <c r="A838" s="6">
        <v>37020</v>
      </c>
      <c r="B838">
        <v>5.9871000000000002E-4</v>
      </c>
    </row>
    <row r="839" spans="1:2" x14ac:dyDescent="0.25">
      <c r="A839" s="6">
        <v>37021</v>
      </c>
      <c r="B839">
        <v>5.9940000000000004E-4</v>
      </c>
    </row>
    <row r="840" spans="1:2" x14ac:dyDescent="0.25">
      <c r="A840" s="6">
        <v>37022</v>
      </c>
      <c r="B840">
        <v>5.9871000000000002E-4</v>
      </c>
    </row>
    <row r="841" spans="1:2" x14ac:dyDescent="0.25">
      <c r="A841" s="6">
        <v>37025</v>
      </c>
      <c r="B841">
        <v>5.9940000000000004E-4</v>
      </c>
    </row>
    <row r="842" spans="1:2" x14ac:dyDescent="0.25">
      <c r="A842" s="6">
        <v>37026</v>
      </c>
      <c r="B842">
        <v>5.9940000000000004E-4</v>
      </c>
    </row>
    <row r="843" spans="1:2" x14ac:dyDescent="0.25">
      <c r="A843" s="6">
        <v>37027</v>
      </c>
      <c r="B843">
        <v>5.9940000000000004E-4</v>
      </c>
    </row>
    <row r="844" spans="1:2" x14ac:dyDescent="0.25">
      <c r="A844" s="6">
        <v>37028</v>
      </c>
      <c r="B844">
        <v>5.9906E-4</v>
      </c>
    </row>
    <row r="845" spans="1:2" x14ac:dyDescent="0.25">
      <c r="A845" s="6">
        <v>37029</v>
      </c>
      <c r="B845">
        <v>5.9940000000000004E-4</v>
      </c>
    </row>
    <row r="846" spans="1:2" x14ac:dyDescent="0.25">
      <c r="A846" s="6">
        <v>37032</v>
      </c>
      <c r="B846">
        <v>5.9940000000000004E-4</v>
      </c>
    </row>
    <row r="847" spans="1:2" x14ac:dyDescent="0.25">
      <c r="A847" s="6">
        <v>37033</v>
      </c>
      <c r="B847">
        <v>5.9940000000000004E-4</v>
      </c>
    </row>
    <row r="848" spans="1:2" x14ac:dyDescent="0.25">
      <c r="A848" s="6">
        <v>37034</v>
      </c>
      <c r="B848">
        <v>6.0041999999999995E-4</v>
      </c>
    </row>
    <row r="849" spans="1:2" x14ac:dyDescent="0.25">
      <c r="A849" s="6">
        <v>37035</v>
      </c>
      <c r="B849">
        <v>6.1540999999999994E-4</v>
      </c>
    </row>
    <row r="850" spans="1:2" x14ac:dyDescent="0.25">
      <c r="A850" s="6">
        <v>37036</v>
      </c>
      <c r="B850">
        <v>6.1643000000000006E-4</v>
      </c>
    </row>
    <row r="851" spans="1:2" x14ac:dyDescent="0.25">
      <c r="A851" s="6">
        <v>37039</v>
      </c>
      <c r="B851">
        <v>6.1643000000000006E-4</v>
      </c>
    </row>
    <row r="852" spans="1:2" x14ac:dyDescent="0.25">
      <c r="A852" s="6">
        <v>37040</v>
      </c>
      <c r="B852">
        <v>6.1643000000000006E-4</v>
      </c>
    </row>
    <row r="853" spans="1:2" x14ac:dyDescent="0.25">
      <c r="A853" s="6">
        <v>37041</v>
      </c>
      <c r="B853">
        <v>6.1643000000000006E-4</v>
      </c>
    </row>
    <row r="854" spans="1:2" x14ac:dyDescent="0.25">
      <c r="A854" s="6">
        <v>37042</v>
      </c>
      <c r="B854">
        <v>6.1643000000000006E-4</v>
      </c>
    </row>
    <row r="855" spans="1:2" x14ac:dyDescent="0.25">
      <c r="A855" s="6">
        <v>37043</v>
      </c>
      <c r="B855">
        <v>6.1676999999999999E-4</v>
      </c>
    </row>
    <row r="856" spans="1:2" x14ac:dyDescent="0.25">
      <c r="A856" s="6">
        <v>37046</v>
      </c>
      <c r="B856">
        <v>6.1643000000000006E-4</v>
      </c>
    </row>
    <row r="857" spans="1:2" x14ac:dyDescent="0.25">
      <c r="A857" s="6">
        <v>37047</v>
      </c>
      <c r="B857">
        <v>6.1574999999999998E-4</v>
      </c>
    </row>
    <row r="858" spans="1:2" x14ac:dyDescent="0.25">
      <c r="A858" s="6">
        <v>37048</v>
      </c>
      <c r="B858">
        <v>6.1472999999999996E-4</v>
      </c>
    </row>
    <row r="859" spans="1:2" x14ac:dyDescent="0.25">
      <c r="A859" s="6">
        <v>37049</v>
      </c>
      <c r="B859">
        <v>6.1404999999999999E-4</v>
      </c>
    </row>
    <row r="860" spans="1:2" x14ac:dyDescent="0.25">
      <c r="A860" s="6">
        <v>37050</v>
      </c>
      <c r="B860">
        <v>6.1268999999999994E-4</v>
      </c>
    </row>
    <row r="861" spans="1:2" x14ac:dyDescent="0.25">
      <c r="A861" s="6">
        <v>37053</v>
      </c>
      <c r="B861">
        <v>6.1132999999999999E-4</v>
      </c>
    </row>
    <row r="862" spans="1:2" x14ac:dyDescent="0.25">
      <c r="A862" s="6">
        <v>37054</v>
      </c>
      <c r="B862">
        <v>6.1065000000000002E-4</v>
      </c>
    </row>
    <row r="863" spans="1:2" x14ac:dyDescent="0.25">
      <c r="A863" s="6">
        <v>37055</v>
      </c>
      <c r="B863">
        <v>6.1200999999999996E-4</v>
      </c>
    </row>
    <row r="864" spans="1:2" x14ac:dyDescent="0.25">
      <c r="A864" s="6">
        <v>37057</v>
      </c>
      <c r="B864">
        <v>6.1132999999999999E-4</v>
      </c>
    </row>
    <row r="865" spans="1:2" x14ac:dyDescent="0.25">
      <c r="A865" s="6">
        <v>37060</v>
      </c>
      <c r="B865">
        <v>6.1609000000000002E-4</v>
      </c>
    </row>
    <row r="866" spans="1:2" x14ac:dyDescent="0.25">
      <c r="A866" s="6">
        <v>37061</v>
      </c>
      <c r="B866">
        <v>6.1643000000000006E-4</v>
      </c>
    </row>
    <row r="867" spans="1:2" x14ac:dyDescent="0.25">
      <c r="A867" s="6">
        <v>37062</v>
      </c>
      <c r="B867">
        <v>6.1881000000000002E-4</v>
      </c>
    </row>
    <row r="868" spans="1:2" x14ac:dyDescent="0.25">
      <c r="A868" s="6">
        <v>37063</v>
      </c>
      <c r="B868">
        <v>6.6677000000000001E-4</v>
      </c>
    </row>
    <row r="869" spans="1:2" x14ac:dyDescent="0.25">
      <c r="A869" s="6">
        <v>37064</v>
      </c>
      <c r="B869">
        <v>6.6609000000000004E-4</v>
      </c>
    </row>
    <row r="870" spans="1:2" x14ac:dyDescent="0.25">
      <c r="A870" s="6">
        <v>37067</v>
      </c>
      <c r="B870">
        <v>6.6710000000000001E-4</v>
      </c>
    </row>
    <row r="871" spans="1:2" x14ac:dyDescent="0.25">
      <c r="A871" s="6">
        <v>37068</v>
      </c>
      <c r="B871">
        <v>6.6710000000000001E-4</v>
      </c>
    </row>
    <row r="872" spans="1:2" x14ac:dyDescent="0.25">
      <c r="A872" s="6">
        <v>37069</v>
      </c>
      <c r="B872">
        <v>6.6743999999999994E-4</v>
      </c>
    </row>
    <row r="873" spans="1:2" x14ac:dyDescent="0.25">
      <c r="A873" s="6">
        <v>37070</v>
      </c>
      <c r="B873">
        <v>6.6743999999999994E-4</v>
      </c>
    </row>
    <row r="874" spans="1:2" x14ac:dyDescent="0.25">
      <c r="A874" s="6">
        <v>37071</v>
      </c>
      <c r="B874">
        <v>6.6777000000000004E-4</v>
      </c>
    </row>
    <row r="875" spans="1:2" x14ac:dyDescent="0.25">
      <c r="A875" s="6">
        <v>37074</v>
      </c>
      <c r="B875">
        <v>6.6777000000000004E-4</v>
      </c>
    </row>
    <row r="876" spans="1:2" x14ac:dyDescent="0.25">
      <c r="A876" s="6">
        <v>37075</v>
      </c>
      <c r="B876">
        <v>6.6743999999999994E-4</v>
      </c>
    </row>
    <row r="877" spans="1:2" x14ac:dyDescent="0.25">
      <c r="A877" s="6">
        <v>37076</v>
      </c>
      <c r="B877">
        <v>6.6777000000000004E-4</v>
      </c>
    </row>
    <row r="878" spans="1:2" x14ac:dyDescent="0.25">
      <c r="A878" s="6">
        <v>37077</v>
      </c>
      <c r="B878">
        <v>6.6743999999999994E-4</v>
      </c>
    </row>
    <row r="879" spans="1:2" x14ac:dyDescent="0.25">
      <c r="A879" s="6">
        <v>37078</v>
      </c>
      <c r="B879">
        <v>6.6777000000000004E-4</v>
      </c>
    </row>
    <row r="880" spans="1:2" x14ac:dyDescent="0.25">
      <c r="A880" s="6">
        <v>37081</v>
      </c>
      <c r="B880">
        <v>6.6710000000000001E-4</v>
      </c>
    </row>
    <row r="881" spans="1:2" x14ac:dyDescent="0.25">
      <c r="A881" s="6">
        <v>37082</v>
      </c>
      <c r="B881">
        <v>6.6777000000000004E-4</v>
      </c>
    </row>
    <row r="882" spans="1:2" x14ac:dyDescent="0.25">
      <c r="A882" s="6">
        <v>37083</v>
      </c>
      <c r="B882">
        <v>6.6810999999999997E-4</v>
      </c>
    </row>
    <row r="883" spans="1:2" x14ac:dyDescent="0.25">
      <c r="A883" s="6">
        <v>37084</v>
      </c>
      <c r="B883">
        <v>6.6777000000000004E-4</v>
      </c>
    </row>
    <row r="884" spans="1:2" x14ac:dyDescent="0.25">
      <c r="A884" s="6">
        <v>37085</v>
      </c>
      <c r="B884">
        <v>6.6777000000000004E-4</v>
      </c>
    </row>
    <row r="885" spans="1:2" x14ac:dyDescent="0.25">
      <c r="A885" s="6">
        <v>37088</v>
      </c>
      <c r="B885">
        <v>6.6810999999999997E-4</v>
      </c>
    </row>
    <row r="886" spans="1:2" x14ac:dyDescent="0.25">
      <c r="A886" s="6">
        <v>37089</v>
      </c>
      <c r="B886">
        <v>6.6710000000000001E-4</v>
      </c>
    </row>
    <row r="887" spans="1:2" x14ac:dyDescent="0.25">
      <c r="A887" s="6">
        <v>37090</v>
      </c>
      <c r="B887">
        <v>6.6945000000000004E-4</v>
      </c>
    </row>
    <row r="888" spans="1:2" x14ac:dyDescent="0.25">
      <c r="A888" s="6">
        <v>37091</v>
      </c>
      <c r="B888">
        <v>6.9053000000000007E-4</v>
      </c>
    </row>
    <row r="889" spans="1:2" x14ac:dyDescent="0.25">
      <c r="A889" s="6">
        <v>37092</v>
      </c>
      <c r="B889">
        <v>6.9053000000000007E-4</v>
      </c>
    </row>
    <row r="890" spans="1:2" x14ac:dyDescent="0.25">
      <c r="A890" s="6">
        <v>37095</v>
      </c>
      <c r="B890">
        <v>6.8886000000000001E-4</v>
      </c>
    </row>
    <row r="891" spans="1:2" x14ac:dyDescent="0.25">
      <c r="A891" s="6">
        <v>37096</v>
      </c>
      <c r="B891">
        <v>6.8719000000000007E-4</v>
      </c>
    </row>
    <row r="892" spans="1:2" x14ac:dyDescent="0.25">
      <c r="A892" s="6">
        <v>37097</v>
      </c>
      <c r="B892">
        <v>6.8819000000000009E-4</v>
      </c>
    </row>
    <row r="893" spans="1:2" x14ac:dyDescent="0.25">
      <c r="A893" s="6">
        <v>37098</v>
      </c>
      <c r="B893">
        <v>6.8685999999999997E-4</v>
      </c>
    </row>
    <row r="894" spans="1:2" x14ac:dyDescent="0.25">
      <c r="A894" s="6">
        <v>37099</v>
      </c>
      <c r="B894">
        <v>6.8652000000000003E-4</v>
      </c>
    </row>
    <row r="895" spans="1:2" x14ac:dyDescent="0.25">
      <c r="A895" s="6">
        <v>37102</v>
      </c>
      <c r="B895">
        <v>6.8719000000000007E-4</v>
      </c>
    </row>
    <row r="896" spans="1:2" x14ac:dyDescent="0.25">
      <c r="A896" s="6">
        <v>37103</v>
      </c>
      <c r="B896">
        <v>6.8652000000000003E-4</v>
      </c>
    </row>
    <row r="897" spans="1:2" x14ac:dyDescent="0.25">
      <c r="A897" s="6">
        <v>37104</v>
      </c>
      <c r="B897">
        <v>6.8652000000000003E-4</v>
      </c>
    </row>
    <row r="898" spans="1:2" x14ac:dyDescent="0.25">
      <c r="A898" s="6">
        <v>37105</v>
      </c>
      <c r="B898">
        <v>6.8652000000000003E-4</v>
      </c>
    </row>
    <row r="899" spans="1:2" x14ac:dyDescent="0.25">
      <c r="A899" s="6">
        <v>37106</v>
      </c>
      <c r="B899">
        <v>6.8685999999999997E-4</v>
      </c>
    </row>
    <row r="900" spans="1:2" x14ac:dyDescent="0.25">
      <c r="A900" s="6">
        <v>37109</v>
      </c>
      <c r="B900">
        <v>6.8785999999999999E-4</v>
      </c>
    </row>
    <row r="901" spans="1:2" x14ac:dyDescent="0.25">
      <c r="A901" s="6">
        <v>37110</v>
      </c>
      <c r="B901">
        <v>6.912E-4</v>
      </c>
    </row>
    <row r="902" spans="1:2" x14ac:dyDescent="0.25">
      <c r="A902" s="6">
        <v>37111</v>
      </c>
      <c r="B902">
        <v>6.9053000000000007E-4</v>
      </c>
    </row>
    <row r="903" spans="1:2" x14ac:dyDescent="0.25">
      <c r="A903" s="6">
        <v>37112</v>
      </c>
      <c r="B903">
        <v>6.9053000000000007E-4</v>
      </c>
    </row>
    <row r="904" spans="1:2" x14ac:dyDescent="0.25">
      <c r="A904" s="6">
        <v>37113</v>
      </c>
      <c r="B904">
        <v>6.9053000000000007E-4</v>
      </c>
    </row>
    <row r="905" spans="1:2" x14ac:dyDescent="0.25">
      <c r="A905" s="6">
        <v>37116</v>
      </c>
      <c r="B905">
        <v>6.9019999999999997E-4</v>
      </c>
    </row>
    <row r="906" spans="1:2" x14ac:dyDescent="0.25">
      <c r="A906" s="6">
        <v>37117</v>
      </c>
      <c r="B906">
        <v>6.9019999999999997E-4</v>
      </c>
    </row>
    <row r="907" spans="1:2" x14ac:dyDescent="0.25">
      <c r="A907" s="6">
        <v>37118</v>
      </c>
      <c r="B907">
        <v>6.8953000000000005E-4</v>
      </c>
    </row>
    <row r="908" spans="1:2" x14ac:dyDescent="0.25">
      <c r="A908" s="6">
        <v>37119</v>
      </c>
      <c r="B908">
        <v>6.915300000000001E-4</v>
      </c>
    </row>
    <row r="909" spans="1:2" x14ac:dyDescent="0.25">
      <c r="A909" s="6">
        <v>37120</v>
      </c>
      <c r="B909">
        <v>6.9185999999999998E-4</v>
      </c>
    </row>
    <row r="910" spans="1:2" x14ac:dyDescent="0.25">
      <c r="A910" s="6">
        <v>37123</v>
      </c>
      <c r="B910">
        <v>6.9220000000000002E-4</v>
      </c>
    </row>
    <row r="911" spans="1:2" x14ac:dyDescent="0.25">
      <c r="A911" s="6">
        <v>37124</v>
      </c>
      <c r="B911">
        <v>6.925299999999999E-4</v>
      </c>
    </row>
    <row r="912" spans="1:2" x14ac:dyDescent="0.25">
      <c r="A912" s="6">
        <v>37125</v>
      </c>
      <c r="B912">
        <v>6.915300000000001E-4</v>
      </c>
    </row>
    <row r="913" spans="1:2" x14ac:dyDescent="0.25">
      <c r="A913" s="6">
        <v>37126</v>
      </c>
      <c r="B913">
        <v>6.915300000000001E-4</v>
      </c>
    </row>
    <row r="914" spans="1:2" x14ac:dyDescent="0.25">
      <c r="A914" s="6">
        <v>37127</v>
      </c>
      <c r="B914">
        <v>6.915300000000001E-4</v>
      </c>
    </row>
    <row r="915" spans="1:2" x14ac:dyDescent="0.25">
      <c r="A915" s="6">
        <v>37130</v>
      </c>
      <c r="B915">
        <v>6.915300000000001E-4</v>
      </c>
    </row>
    <row r="916" spans="1:2" x14ac:dyDescent="0.25">
      <c r="A916" s="6">
        <v>37131</v>
      </c>
      <c r="B916">
        <v>6.9085999999999996E-4</v>
      </c>
    </row>
    <row r="917" spans="1:2" x14ac:dyDescent="0.25">
      <c r="A917" s="6">
        <v>37132</v>
      </c>
      <c r="B917">
        <v>6.9019999999999997E-4</v>
      </c>
    </row>
    <row r="918" spans="1:2" x14ac:dyDescent="0.25">
      <c r="A918" s="6">
        <v>37133</v>
      </c>
      <c r="B918">
        <v>6.9085999999999996E-4</v>
      </c>
    </row>
    <row r="919" spans="1:2" x14ac:dyDescent="0.25">
      <c r="A919" s="6">
        <v>37134</v>
      </c>
      <c r="B919">
        <v>6.9220000000000002E-4</v>
      </c>
    </row>
    <row r="920" spans="1:2" x14ac:dyDescent="0.25">
      <c r="A920" s="6">
        <v>37137</v>
      </c>
      <c r="B920">
        <v>6.9220000000000002E-4</v>
      </c>
    </row>
    <row r="921" spans="1:2" x14ac:dyDescent="0.25">
      <c r="A921" s="6">
        <v>37138</v>
      </c>
      <c r="B921">
        <v>6.9220000000000002E-4</v>
      </c>
    </row>
    <row r="922" spans="1:2" x14ac:dyDescent="0.25">
      <c r="A922" s="6">
        <v>37139</v>
      </c>
      <c r="B922">
        <v>6.925299999999999E-4</v>
      </c>
    </row>
    <row r="923" spans="1:2" x14ac:dyDescent="0.25">
      <c r="A923" s="6">
        <v>37140</v>
      </c>
      <c r="B923">
        <v>6.925299999999999E-4</v>
      </c>
    </row>
    <row r="924" spans="1:2" x14ac:dyDescent="0.25">
      <c r="A924" s="6">
        <v>37144</v>
      </c>
      <c r="B924">
        <v>6.9286E-4</v>
      </c>
    </row>
    <row r="925" spans="1:2" x14ac:dyDescent="0.25">
      <c r="A925" s="6">
        <v>37145</v>
      </c>
      <c r="B925">
        <v>6.9220000000000002E-4</v>
      </c>
    </row>
    <row r="926" spans="1:2" x14ac:dyDescent="0.25">
      <c r="A926" s="6">
        <v>37146</v>
      </c>
      <c r="B926">
        <v>6.9220000000000002E-4</v>
      </c>
    </row>
    <row r="927" spans="1:2" x14ac:dyDescent="0.25">
      <c r="A927" s="6">
        <v>37147</v>
      </c>
      <c r="B927">
        <v>6.925299999999999E-4</v>
      </c>
    </row>
    <row r="928" spans="1:2" x14ac:dyDescent="0.25">
      <c r="A928" s="6">
        <v>37148</v>
      </c>
      <c r="B928">
        <v>6.925299999999999E-4</v>
      </c>
    </row>
    <row r="929" spans="1:2" x14ac:dyDescent="0.25">
      <c r="A929" s="6">
        <v>37151</v>
      </c>
      <c r="B929">
        <v>6.925299999999999E-4</v>
      </c>
    </row>
    <row r="930" spans="1:2" x14ac:dyDescent="0.25">
      <c r="A930" s="6">
        <v>37152</v>
      </c>
      <c r="B930">
        <v>6.925299999999999E-4</v>
      </c>
    </row>
    <row r="931" spans="1:2" x14ac:dyDescent="0.25">
      <c r="A931" s="6">
        <v>37153</v>
      </c>
      <c r="B931">
        <v>6.925299999999999E-4</v>
      </c>
    </row>
    <row r="932" spans="1:2" x14ac:dyDescent="0.25">
      <c r="A932" s="6">
        <v>37154</v>
      </c>
      <c r="B932">
        <v>6.925299999999999E-4</v>
      </c>
    </row>
    <row r="933" spans="1:2" x14ac:dyDescent="0.25">
      <c r="A933" s="6">
        <v>37155</v>
      </c>
      <c r="B933">
        <v>6.925299999999999E-4</v>
      </c>
    </row>
    <row r="934" spans="1:2" x14ac:dyDescent="0.25">
      <c r="A934" s="6">
        <v>37158</v>
      </c>
      <c r="B934">
        <v>6.9286E-4</v>
      </c>
    </row>
    <row r="935" spans="1:2" x14ac:dyDescent="0.25">
      <c r="A935" s="6">
        <v>37159</v>
      </c>
      <c r="B935">
        <v>6.9286E-4</v>
      </c>
    </row>
    <row r="936" spans="1:2" x14ac:dyDescent="0.25">
      <c r="A936" s="6">
        <v>37160</v>
      </c>
      <c r="B936">
        <v>6.9320000000000004E-4</v>
      </c>
    </row>
    <row r="937" spans="1:2" x14ac:dyDescent="0.25">
      <c r="A937" s="6">
        <v>37161</v>
      </c>
      <c r="B937">
        <v>6.9352999999999993E-4</v>
      </c>
    </row>
    <row r="938" spans="1:2" x14ac:dyDescent="0.25">
      <c r="A938" s="6">
        <v>37162</v>
      </c>
      <c r="B938">
        <v>6.9386000000000003E-4</v>
      </c>
    </row>
    <row r="939" spans="1:2" x14ac:dyDescent="0.25">
      <c r="A939" s="6">
        <v>37165</v>
      </c>
      <c r="B939">
        <v>6.9386000000000003E-4</v>
      </c>
    </row>
    <row r="940" spans="1:2" x14ac:dyDescent="0.25">
      <c r="A940" s="6">
        <v>37166</v>
      </c>
      <c r="B940">
        <v>6.9419999999999996E-4</v>
      </c>
    </row>
    <row r="941" spans="1:2" x14ac:dyDescent="0.25">
      <c r="A941" s="6">
        <v>37167</v>
      </c>
      <c r="B941">
        <v>6.9419999999999996E-4</v>
      </c>
    </row>
    <row r="942" spans="1:2" x14ac:dyDescent="0.25">
      <c r="A942" s="6">
        <v>37168</v>
      </c>
      <c r="B942">
        <v>6.9386000000000003E-4</v>
      </c>
    </row>
    <row r="943" spans="1:2" x14ac:dyDescent="0.25">
      <c r="A943" s="6">
        <v>37169</v>
      </c>
      <c r="B943">
        <v>6.9352999999999993E-4</v>
      </c>
    </row>
    <row r="944" spans="1:2" x14ac:dyDescent="0.25">
      <c r="A944" s="6">
        <v>37172</v>
      </c>
      <c r="B944">
        <v>6.9286E-4</v>
      </c>
    </row>
    <row r="945" spans="1:2" x14ac:dyDescent="0.25">
      <c r="A945" s="6">
        <v>37173</v>
      </c>
      <c r="B945">
        <v>6.925299999999999E-4</v>
      </c>
    </row>
    <row r="946" spans="1:2" x14ac:dyDescent="0.25">
      <c r="A946" s="6">
        <v>37174</v>
      </c>
      <c r="B946">
        <v>6.9220000000000002E-4</v>
      </c>
    </row>
    <row r="947" spans="1:2" x14ac:dyDescent="0.25">
      <c r="A947" s="6">
        <v>37175</v>
      </c>
      <c r="B947">
        <v>6.9220000000000002E-4</v>
      </c>
    </row>
    <row r="948" spans="1:2" x14ac:dyDescent="0.25">
      <c r="A948" s="6">
        <v>37179</v>
      </c>
      <c r="B948">
        <v>6.9220000000000002E-4</v>
      </c>
    </row>
    <row r="949" spans="1:2" x14ac:dyDescent="0.25">
      <c r="A949" s="6">
        <v>37180</v>
      </c>
      <c r="B949">
        <v>6.9220000000000002E-4</v>
      </c>
    </row>
    <row r="950" spans="1:2" x14ac:dyDescent="0.25">
      <c r="A950" s="6">
        <v>37181</v>
      </c>
      <c r="B950">
        <v>6.9220000000000002E-4</v>
      </c>
    </row>
    <row r="951" spans="1:2" x14ac:dyDescent="0.25">
      <c r="A951" s="6">
        <v>37182</v>
      </c>
      <c r="B951">
        <v>6.9220000000000002E-4</v>
      </c>
    </row>
    <row r="952" spans="1:2" x14ac:dyDescent="0.25">
      <c r="A952" s="6">
        <v>37183</v>
      </c>
      <c r="B952">
        <v>6.9220000000000002E-4</v>
      </c>
    </row>
    <row r="953" spans="1:2" x14ac:dyDescent="0.25">
      <c r="A953" s="6">
        <v>37186</v>
      </c>
      <c r="B953">
        <v>6.9220000000000002E-4</v>
      </c>
    </row>
    <row r="954" spans="1:2" x14ac:dyDescent="0.25">
      <c r="A954" s="6">
        <v>37187</v>
      </c>
      <c r="B954">
        <v>6.9220000000000002E-4</v>
      </c>
    </row>
    <row r="955" spans="1:2" x14ac:dyDescent="0.25">
      <c r="A955" s="6">
        <v>37188</v>
      </c>
      <c r="B955">
        <v>6.9220000000000002E-4</v>
      </c>
    </row>
    <row r="956" spans="1:2" x14ac:dyDescent="0.25">
      <c r="A956" s="6">
        <v>37189</v>
      </c>
      <c r="B956">
        <v>6.9220000000000002E-4</v>
      </c>
    </row>
    <row r="957" spans="1:2" x14ac:dyDescent="0.25">
      <c r="A957" s="6">
        <v>37190</v>
      </c>
      <c r="B957">
        <v>6.9220000000000002E-4</v>
      </c>
    </row>
    <row r="958" spans="1:2" x14ac:dyDescent="0.25">
      <c r="A958" s="6">
        <v>37193</v>
      </c>
      <c r="B958">
        <v>6.9220000000000002E-4</v>
      </c>
    </row>
    <row r="959" spans="1:2" x14ac:dyDescent="0.25">
      <c r="A959" s="6">
        <v>37194</v>
      </c>
      <c r="B959">
        <v>6.9220000000000002E-4</v>
      </c>
    </row>
    <row r="960" spans="1:2" x14ac:dyDescent="0.25">
      <c r="A960" s="6">
        <v>37195</v>
      </c>
      <c r="B960">
        <v>6.9220000000000002E-4</v>
      </c>
    </row>
    <row r="961" spans="1:2" x14ac:dyDescent="0.25">
      <c r="A961" s="6">
        <v>37196</v>
      </c>
      <c r="B961">
        <v>6.9220000000000002E-4</v>
      </c>
    </row>
    <row r="962" spans="1:2" x14ac:dyDescent="0.25">
      <c r="A962" s="6">
        <v>37200</v>
      </c>
      <c r="B962">
        <v>6.9220000000000002E-4</v>
      </c>
    </row>
    <row r="963" spans="1:2" x14ac:dyDescent="0.25">
      <c r="A963" s="6">
        <v>37201</v>
      </c>
      <c r="B963">
        <v>6.9185999999999998E-4</v>
      </c>
    </row>
    <row r="964" spans="1:2" x14ac:dyDescent="0.25">
      <c r="A964" s="6">
        <v>37202</v>
      </c>
      <c r="B964">
        <v>6.9220000000000002E-4</v>
      </c>
    </row>
    <row r="965" spans="1:2" x14ac:dyDescent="0.25">
      <c r="A965" s="6">
        <v>37203</v>
      </c>
      <c r="B965">
        <v>6.9185999999999998E-4</v>
      </c>
    </row>
    <row r="966" spans="1:2" x14ac:dyDescent="0.25">
      <c r="A966" s="6">
        <v>37204</v>
      </c>
      <c r="B966">
        <v>6.9185999999999998E-4</v>
      </c>
    </row>
    <row r="967" spans="1:2" x14ac:dyDescent="0.25">
      <c r="A967" s="6">
        <v>37207</v>
      </c>
      <c r="B967">
        <v>6.9220000000000002E-4</v>
      </c>
    </row>
    <row r="968" spans="1:2" x14ac:dyDescent="0.25">
      <c r="A968" s="6">
        <v>37208</v>
      </c>
      <c r="B968">
        <v>6.9220000000000002E-4</v>
      </c>
    </row>
    <row r="969" spans="1:2" x14ac:dyDescent="0.25">
      <c r="A969" s="6">
        <v>37209</v>
      </c>
      <c r="B969">
        <v>6.9220000000000002E-4</v>
      </c>
    </row>
    <row r="970" spans="1:2" x14ac:dyDescent="0.25">
      <c r="A970" s="6">
        <v>37211</v>
      </c>
      <c r="B970">
        <v>6.9220000000000002E-4</v>
      </c>
    </row>
    <row r="971" spans="1:2" x14ac:dyDescent="0.25">
      <c r="A971" s="6">
        <v>37214</v>
      </c>
      <c r="B971">
        <v>6.9220000000000002E-4</v>
      </c>
    </row>
    <row r="972" spans="1:2" x14ac:dyDescent="0.25">
      <c r="A972" s="6">
        <v>37215</v>
      </c>
      <c r="B972">
        <v>6.9220000000000002E-4</v>
      </c>
    </row>
    <row r="973" spans="1:2" x14ac:dyDescent="0.25">
      <c r="A973" s="6">
        <v>37216</v>
      </c>
      <c r="B973">
        <v>6.9220000000000002E-4</v>
      </c>
    </row>
    <row r="974" spans="1:2" x14ac:dyDescent="0.25">
      <c r="A974" s="6">
        <v>37217</v>
      </c>
      <c r="B974">
        <v>6.9220000000000002E-4</v>
      </c>
    </row>
    <row r="975" spans="1:2" x14ac:dyDescent="0.25">
      <c r="A975" s="6">
        <v>37218</v>
      </c>
      <c r="B975">
        <v>6.9220000000000002E-4</v>
      </c>
    </row>
    <row r="976" spans="1:2" x14ac:dyDescent="0.25">
      <c r="A976" s="6">
        <v>37221</v>
      </c>
      <c r="B976">
        <v>6.9220000000000002E-4</v>
      </c>
    </row>
    <row r="977" spans="1:2" x14ac:dyDescent="0.25">
      <c r="A977" s="6">
        <v>37222</v>
      </c>
      <c r="B977">
        <v>6.9220000000000002E-4</v>
      </c>
    </row>
    <row r="978" spans="1:2" x14ac:dyDescent="0.25">
      <c r="A978" s="6">
        <v>37223</v>
      </c>
      <c r="B978">
        <v>6.9220000000000002E-4</v>
      </c>
    </row>
    <row r="979" spans="1:2" x14ac:dyDescent="0.25">
      <c r="A979" s="6">
        <v>37224</v>
      </c>
      <c r="B979">
        <v>6.9220000000000002E-4</v>
      </c>
    </row>
    <row r="980" spans="1:2" x14ac:dyDescent="0.25">
      <c r="A980" s="6">
        <v>37225</v>
      </c>
      <c r="B980">
        <v>6.9220000000000002E-4</v>
      </c>
    </row>
    <row r="981" spans="1:2" x14ac:dyDescent="0.25">
      <c r="A981" s="6">
        <v>37228</v>
      </c>
      <c r="B981">
        <v>6.9220000000000002E-4</v>
      </c>
    </row>
    <row r="982" spans="1:2" x14ac:dyDescent="0.25">
      <c r="A982" s="6">
        <v>37229</v>
      </c>
      <c r="B982">
        <v>6.9220000000000002E-4</v>
      </c>
    </row>
    <row r="983" spans="1:2" x14ac:dyDescent="0.25">
      <c r="A983" s="6">
        <v>37230</v>
      </c>
      <c r="B983">
        <v>6.9220000000000002E-4</v>
      </c>
    </row>
    <row r="984" spans="1:2" x14ac:dyDescent="0.25">
      <c r="A984" s="6">
        <v>37231</v>
      </c>
      <c r="B984">
        <v>6.9220000000000002E-4</v>
      </c>
    </row>
    <row r="985" spans="1:2" x14ac:dyDescent="0.25">
      <c r="A985" s="6">
        <v>37232</v>
      </c>
      <c r="B985">
        <v>6.9220000000000002E-4</v>
      </c>
    </row>
    <row r="986" spans="1:2" x14ac:dyDescent="0.25">
      <c r="A986" s="6">
        <v>37235</v>
      </c>
      <c r="B986">
        <v>6.9220000000000002E-4</v>
      </c>
    </row>
    <row r="987" spans="1:2" x14ac:dyDescent="0.25">
      <c r="A987" s="6">
        <v>37236</v>
      </c>
      <c r="B987">
        <v>6.9220000000000002E-4</v>
      </c>
    </row>
    <row r="988" spans="1:2" x14ac:dyDescent="0.25">
      <c r="A988" s="6">
        <v>37237</v>
      </c>
      <c r="B988">
        <v>6.9220000000000002E-4</v>
      </c>
    </row>
    <row r="989" spans="1:2" x14ac:dyDescent="0.25">
      <c r="A989" s="6">
        <v>37238</v>
      </c>
      <c r="B989">
        <v>6.9220000000000002E-4</v>
      </c>
    </row>
    <row r="990" spans="1:2" x14ac:dyDescent="0.25">
      <c r="A990" s="6">
        <v>37239</v>
      </c>
      <c r="B990">
        <v>6.9220000000000002E-4</v>
      </c>
    </row>
    <row r="991" spans="1:2" x14ac:dyDescent="0.25">
      <c r="A991" s="6">
        <v>37242</v>
      </c>
      <c r="B991">
        <v>6.9220000000000002E-4</v>
      </c>
    </row>
    <row r="992" spans="1:2" x14ac:dyDescent="0.25">
      <c r="A992" s="6">
        <v>37243</v>
      </c>
      <c r="B992">
        <v>6.9220000000000002E-4</v>
      </c>
    </row>
    <row r="993" spans="1:2" x14ac:dyDescent="0.25">
      <c r="A993" s="6">
        <v>37244</v>
      </c>
      <c r="B993">
        <v>6.9220000000000002E-4</v>
      </c>
    </row>
    <row r="994" spans="1:2" x14ac:dyDescent="0.25">
      <c r="A994" s="6">
        <v>37245</v>
      </c>
      <c r="B994">
        <v>6.9220000000000002E-4</v>
      </c>
    </row>
    <row r="995" spans="1:2" x14ac:dyDescent="0.25">
      <c r="A995" s="6">
        <v>37246</v>
      </c>
      <c r="B995">
        <v>6.9220000000000002E-4</v>
      </c>
    </row>
    <row r="996" spans="1:2" x14ac:dyDescent="0.25">
      <c r="A996" s="6">
        <v>37249</v>
      </c>
      <c r="B996">
        <v>6.9220000000000002E-4</v>
      </c>
    </row>
    <row r="997" spans="1:2" x14ac:dyDescent="0.25">
      <c r="A997" s="6">
        <v>37251</v>
      </c>
      <c r="B997">
        <v>6.9220000000000002E-4</v>
      </c>
    </row>
    <row r="998" spans="1:2" x14ac:dyDescent="0.25">
      <c r="A998" s="6">
        <v>37252</v>
      </c>
      <c r="B998">
        <v>6.9220000000000002E-4</v>
      </c>
    </row>
    <row r="999" spans="1:2" x14ac:dyDescent="0.25">
      <c r="A999" s="6">
        <v>37253</v>
      </c>
      <c r="B999">
        <v>6.9220000000000002E-4</v>
      </c>
    </row>
    <row r="1000" spans="1:2" x14ac:dyDescent="0.25">
      <c r="A1000" s="6">
        <v>37256</v>
      </c>
      <c r="B1000">
        <v>6.9220000000000002E-4</v>
      </c>
    </row>
    <row r="1001" spans="1:2" x14ac:dyDescent="0.25">
      <c r="A1001" s="6">
        <v>37258</v>
      </c>
      <c r="B1001">
        <v>6.9220000000000002E-4</v>
      </c>
    </row>
    <row r="1002" spans="1:2" x14ac:dyDescent="0.25">
      <c r="A1002" s="6">
        <v>37259</v>
      </c>
      <c r="B1002">
        <v>6.9220000000000002E-4</v>
      </c>
    </row>
    <row r="1003" spans="1:2" x14ac:dyDescent="0.25">
      <c r="A1003" s="6">
        <v>37260</v>
      </c>
      <c r="B1003">
        <v>6.9220000000000002E-4</v>
      </c>
    </row>
    <row r="1004" spans="1:2" x14ac:dyDescent="0.25">
      <c r="A1004" s="6">
        <v>37263</v>
      </c>
      <c r="B1004">
        <v>6.9220000000000002E-4</v>
      </c>
    </row>
    <row r="1005" spans="1:2" x14ac:dyDescent="0.25">
      <c r="A1005" s="6">
        <v>37264</v>
      </c>
      <c r="B1005">
        <v>6.9220000000000002E-4</v>
      </c>
    </row>
    <row r="1006" spans="1:2" x14ac:dyDescent="0.25">
      <c r="A1006" s="6">
        <v>37265</v>
      </c>
      <c r="B1006">
        <v>6.9220000000000002E-4</v>
      </c>
    </row>
    <row r="1007" spans="1:2" x14ac:dyDescent="0.25">
      <c r="A1007" s="6">
        <v>37266</v>
      </c>
      <c r="B1007">
        <v>6.9220000000000002E-4</v>
      </c>
    </row>
    <row r="1008" spans="1:2" x14ac:dyDescent="0.25">
      <c r="A1008" s="6">
        <v>37267</v>
      </c>
      <c r="B1008">
        <v>6.9220000000000002E-4</v>
      </c>
    </row>
    <row r="1009" spans="1:2" x14ac:dyDescent="0.25">
      <c r="A1009" s="6">
        <v>37270</v>
      </c>
      <c r="B1009">
        <v>6.9220000000000002E-4</v>
      </c>
    </row>
    <row r="1010" spans="1:2" x14ac:dyDescent="0.25">
      <c r="A1010" s="6">
        <v>37271</v>
      </c>
      <c r="B1010">
        <v>6.9220000000000002E-4</v>
      </c>
    </row>
    <row r="1011" spans="1:2" x14ac:dyDescent="0.25">
      <c r="A1011" s="6">
        <v>37272</v>
      </c>
      <c r="B1011">
        <v>6.9220000000000002E-4</v>
      </c>
    </row>
    <row r="1012" spans="1:2" x14ac:dyDescent="0.25">
      <c r="A1012" s="6">
        <v>37273</v>
      </c>
      <c r="B1012">
        <v>6.9220000000000002E-4</v>
      </c>
    </row>
    <row r="1013" spans="1:2" x14ac:dyDescent="0.25">
      <c r="A1013" s="6">
        <v>37274</v>
      </c>
      <c r="B1013">
        <v>6.9220000000000002E-4</v>
      </c>
    </row>
    <row r="1014" spans="1:2" x14ac:dyDescent="0.25">
      <c r="A1014" s="6">
        <v>37277</v>
      </c>
      <c r="B1014">
        <v>6.9220000000000002E-4</v>
      </c>
    </row>
    <row r="1015" spans="1:2" x14ac:dyDescent="0.25">
      <c r="A1015" s="6">
        <v>37278</v>
      </c>
      <c r="B1015">
        <v>6.9220000000000002E-4</v>
      </c>
    </row>
    <row r="1016" spans="1:2" x14ac:dyDescent="0.25">
      <c r="A1016" s="6">
        <v>37279</v>
      </c>
      <c r="B1016">
        <v>6.9220000000000002E-4</v>
      </c>
    </row>
    <row r="1017" spans="1:2" x14ac:dyDescent="0.25">
      <c r="A1017" s="6">
        <v>37280</v>
      </c>
      <c r="B1017">
        <v>6.9220000000000002E-4</v>
      </c>
    </row>
    <row r="1018" spans="1:2" x14ac:dyDescent="0.25">
      <c r="A1018" s="6">
        <v>37281</v>
      </c>
      <c r="B1018">
        <v>6.9220000000000002E-4</v>
      </c>
    </row>
    <row r="1019" spans="1:2" x14ac:dyDescent="0.25">
      <c r="A1019" s="6">
        <v>37284</v>
      </c>
      <c r="B1019">
        <v>6.9220000000000002E-4</v>
      </c>
    </row>
    <row r="1020" spans="1:2" x14ac:dyDescent="0.25">
      <c r="A1020" s="6">
        <v>37285</v>
      </c>
      <c r="B1020">
        <v>6.9220000000000002E-4</v>
      </c>
    </row>
    <row r="1021" spans="1:2" x14ac:dyDescent="0.25">
      <c r="A1021" s="6">
        <v>37286</v>
      </c>
      <c r="B1021">
        <v>6.9220000000000002E-4</v>
      </c>
    </row>
    <row r="1022" spans="1:2" x14ac:dyDescent="0.25">
      <c r="A1022" s="6">
        <v>37287</v>
      </c>
      <c r="B1022">
        <v>6.9220000000000002E-4</v>
      </c>
    </row>
    <row r="1023" spans="1:2" x14ac:dyDescent="0.25">
      <c r="A1023" s="6">
        <v>37288</v>
      </c>
      <c r="B1023">
        <v>6.9220000000000002E-4</v>
      </c>
    </row>
    <row r="1024" spans="1:2" x14ac:dyDescent="0.25">
      <c r="A1024" s="6">
        <v>37291</v>
      </c>
      <c r="B1024">
        <v>6.9220000000000002E-4</v>
      </c>
    </row>
    <row r="1025" spans="1:2" x14ac:dyDescent="0.25">
      <c r="A1025" s="6">
        <v>37292</v>
      </c>
      <c r="B1025">
        <v>6.9220000000000002E-4</v>
      </c>
    </row>
    <row r="1026" spans="1:2" x14ac:dyDescent="0.25">
      <c r="A1026" s="6">
        <v>37293</v>
      </c>
      <c r="B1026">
        <v>6.9220000000000002E-4</v>
      </c>
    </row>
    <row r="1027" spans="1:2" x14ac:dyDescent="0.25">
      <c r="A1027" s="6">
        <v>37294</v>
      </c>
      <c r="B1027">
        <v>6.9220000000000002E-4</v>
      </c>
    </row>
    <row r="1028" spans="1:2" x14ac:dyDescent="0.25">
      <c r="A1028" s="6">
        <v>37295</v>
      </c>
      <c r="B1028">
        <v>6.9220000000000002E-4</v>
      </c>
    </row>
    <row r="1029" spans="1:2" x14ac:dyDescent="0.25">
      <c r="A1029" s="6">
        <v>37300</v>
      </c>
      <c r="B1029">
        <v>6.9220000000000002E-4</v>
      </c>
    </row>
    <row r="1030" spans="1:2" x14ac:dyDescent="0.25">
      <c r="A1030" s="6">
        <v>37301</v>
      </c>
      <c r="B1030">
        <v>6.9220000000000002E-4</v>
      </c>
    </row>
    <row r="1031" spans="1:2" x14ac:dyDescent="0.25">
      <c r="A1031" s="6">
        <v>37302</v>
      </c>
      <c r="B1031">
        <v>6.9220000000000002E-4</v>
      </c>
    </row>
    <row r="1032" spans="1:2" x14ac:dyDescent="0.25">
      <c r="A1032" s="6">
        <v>37305</v>
      </c>
      <c r="B1032">
        <v>6.9220000000000002E-4</v>
      </c>
    </row>
    <row r="1033" spans="1:2" x14ac:dyDescent="0.25">
      <c r="A1033" s="6">
        <v>37306</v>
      </c>
      <c r="B1033">
        <v>6.9220000000000002E-4</v>
      </c>
    </row>
    <row r="1034" spans="1:2" x14ac:dyDescent="0.25">
      <c r="A1034" s="6">
        <v>37307</v>
      </c>
      <c r="B1034">
        <v>6.9220000000000002E-4</v>
      </c>
    </row>
    <row r="1035" spans="1:2" x14ac:dyDescent="0.25">
      <c r="A1035" s="6">
        <v>37308</v>
      </c>
      <c r="B1035">
        <v>6.8385000000000006E-4</v>
      </c>
    </row>
    <row r="1036" spans="1:2" x14ac:dyDescent="0.25">
      <c r="A1036" s="6">
        <v>37309</v>
      </c>
      <c r="B1036">
        <v>6.8385000000000006E-4</v>
      </c>
    </row>
    <row r="1037" spans="1:2" x14ac:dyDescent="0.25">
      <c r="A1037" s="6">
        <v>37312</v>
      </c>
      <c r="B1037">
        <v>6.8385000000000006E-4</v>
      </c>
    </row>
    <row r="1038" spans="1:2" x14ac:dyDescent="0.25">
      <c r="A1038" s="6">
        <v>37313</v>
      </c>
      <c r="B1038">
        <v>6.8385000000000006E-4</v>
      </c>
    </row>
    <row r="1039" spans="1:2" x14ac:dyDescent="0.25">
      <c r="A1039" s="6">
        <v>37314</v>
      </c>
      <c r="B1039">
        <v>6.8385000000000006E-4</v>
      </c>
    </row>
    <row r="1040" spans="1:2" x14ac:dyDescent="0.25">
      <c r="A1040" s="6">
        <v>37315</v>
      </c>
      <c r="B1040">
        <v>6.8351999999999996E-4</v>
      </c>
    </row>
    <row r="1041" spans="1:2" x14ac:dyDescent="0.25">
      <c r="A1041" s="6">
        <v>37316</v>
      </c>
      <c r="B1041">
        <v>6.8385000000000006E-4</v>
      </c>
    </row>
    <row r="1042" spans="1:2" x14ac:dyDescent="0.25">
      <c r="A1042" s="6">
        <v>37319</v>
      </c>
      <c r="B1042">
        <v>6.8385000000000006E-4</v>
      </c>
    </row>
    <row r="1043" spans="1:2" x14ac:dyDescent="0.25">
      <c r="A1043" s="6">
        <v>37320</v>
      </c>
      <c r="B1043">
        <v>6.8385000000000006E-4</v>
      </c>
    </row>
    <row r="1044" spans="1:2" x14ac:dyDescent="0.25">
      <c r="A1044" s="6">
        <v>37321</v>
      </c>
      <c r="B1044">
        <v>6.8385000000000006E-4</v>
      </c>
    </row>
    <row r="1045" spans="1:2" x14ac:dyDescent="0.25">
      <c r="A1045" s="6">
        <v>37322</v>
      </c>
      <c r="B1045">
        <v>6.8385000000000006E-4</v>
      </c>
    </row>
    <row r="1046" spans="1:2" x14ac:dyDescent="0.25">
      <c r="A1046" s="6">
        <v>37323</v>
      </c>
      <c r="B1046">
        <v>6.8385000000000006E-4</v>
      </c>
    </row>
    <row r="1047" spans="1:2" x14ac:dyDescent="0.25">
      <c r="A1047" s="6">
        <v>37326</v>
      </c>
      <c r="B1047">
        <v>6.8385000000000006E-4</v>
      </c>
    </row>
    <row r="1048" spans="1:2" x14ac:dyDescent="0.25">
      <c r="A1048" s="6">
        <v>37327</v>
      </c>
      <c r="B1048">
        <v>6.8385000000000006E-4</v>
      </c>
    </row>
    <row r="1049" spans="1:2" x14ac:dyDescent="0.25">
      <c r="A1049" s="6">
        <v>37328</v>
      </c>
      <c r="B1049">
        <v>6.8385000000000006E-4</v>
      </c>
    </row>
    <row r="1050" spans="1:2" x14ac:dyDescent="0.25">
      <c r="A1050" s="6">
        <v>37329</v>
      </c>
      <c r="B1050">
        <v>6.8385000000000006E-4</v>
      </c>
    </row>
    <row r="1051" spans="1:2" x14ac:dyDescent="0.25">
      <c r="A1051" s="6">
        <v>37330</v>
      </c>
      <c r="B1051">
        <v>6.8385000000000006E-4</v>
      </c>
    </row>
    <row r="1052" spans="1:2" x14ac:dyDescent="0.25">
      <c r="A1052" s="6">
        <v>37333</v>
      </c>
      <c r="B1052">
        <v>6.8385000000000006E-4</v>
      </c>
    </row>
    <row r="1053" spans="1:2" x14ac:dyDescent="0.25">
      <c r="A1053" s="6">
        <v>37334</v>
      </c>
      <c r="B1053">
        <v>6.8385000000000006E-4</v>
      </c>
    </row>
    <row r="1054" spans="1:2" x14ac:dyDescent="0.25">
      <c r="A1054" s="6">
        <v>37335</v>
      </c>
      <c r="B1054">
        <v>6.8351999999999996E-4</v>
      </c>
    </row>
    <row r="1055" spans="1:2" x14ac:dyDescent="0.25">
      <c r="A1055" s="6">
        <v>37336</v>
      </c>
      <c r="B1055">
        <v>6.7548E-4</v>
      </c>
    </row>
    <row r="1056" spans="1:2" x14ac:dyDescent="0.25">
      <c r="A1056" s="6">
        <v>37337</v>
      </c>
      <c r="B1056">
        <v>6.7515000000000001E-4</v>
      </c>
    </row>
    <row r="1057" spans="1:2" x14ac:dyDescent="0.25">
      <c r="A1057" s="6">
        <v>37340</v>
      </c>
      <c r="B1057">
        <v>6.7548E-4</v>
      </c>
    </row>
    <row r="1058" spans="1:2" x14ac:dyDescent="0.25">
      <c r="A1058" s="6">
        <v>37341</v>
      </c>
      <c r="B1058">
        <v>6.7548E-4</v>
      </c>
    </row>
    <row r="1059" spans="1:2" x14ac:dyDescent="0.25">
      <c r="A1059" s="6">
        <v>37342</v>
      </c>
      <c r="B1059">
        <v>6.7515000000000001E-4</v>
      </c>
    </row>
    <row r="1060" spans="1:2" x14ac:dyDescent="0.25">
      <c r="A1060" s="6">
        <v>37343</v>
      </c>
      <c r="B1060">
        <v>6.7447999999999998E-4</v>
      </c>
    </row>
    <row r="1061" spans="1:2" x14ac:dyDescent="0.25">
      <c r="A1061" s="6">
        <v>37347</v>
      </c>
      <c r="B1061">
        <v>6.7280000000000009E-4</v>
      </c>
    </row>
    <row r="1062" spans="1:2" x14ac:dyDescent="0.25">
      <c r="A1062" s="6">
        <v>37348</v>
      </c>
      <c r="B1062">
        <v>6.7045999999999989E-4</v>
      </c>
    </row>
    <row r="1063" spans="1:2" x14ac:dyDescent="0.25">
      <c r="A1063" s="6">
        <v>37349</v>
      </c>
      <c r="B1063">
        <v>6.7045999999999989E-4</v>
      </c>
    </row>
    <row r="1064" spans="1:2" x14ac:dyDescent="0.25">
      <c r="A1064" s="6">
        <v>37350</v>
      </c>
      <c r="B1064">
        <v>6.7045999999999989E-4</v>
      </c>
    </row>
    <row r="1065" spans="1:2" x14ac:dyDescent="0.25">
      <c r="A1065" s="6">
        <v>37351</v>
      </c>
      <c r="B1065">
        <v>6.7045999999999989E-4</v>
      </c>
    </row>
    <row r="1066" spans="1:2" x14ac:dyDescent="0.25">
      <c r="A1066" s="6">
        <v>37354</v>
      </c>
      <c r="B1066">
        <v>6.7045999999999989E-4</v>
      </c>
    </row>
    <row r="1067" spans="1:2" x14ac:dyDescent="0.25">
      <c r="A1067" s="6">
        <v>37355</v>
      </c>
      <c r="B1067">
        <v>6.7045999999999989E-4</v>
      </c>
    </row>
    <row r="1068" spans="1:2" x14ac:dyDescent="0.25">
      <c r="A1068" s="6">
        <v>37356</v>
      </c>
      <c r="B1068">
        <v>6.7045999999999989E-4</v>
      </c>
    </row>
    <row r="1069" spans="1:2" x14ac:dyDescent="0.25">
      <c r="A1069" s="6">
        <v>37357</v>
      </c>
      <c r="B1069">
        <v>6.7045999999999989E-4</v>
      </c>
    </row>
    <row r="1070" spans="1:2" x14ac:dyDescent="0.25">
      <c r="A1070" s="6">
        <v>37358</v>
      </c>
      <c r="B1070">
        <v>6.7045999999999989E-4</v>
      </c>
    </row>
    <row r="1071" spans="1:2" x14ac:dyDescent="0.25">
      <c r="A1071" s="6">
        <v>37361</v>
      </c>
      <c r="B1071">
        <v>6.7045999999999989E-4</v>
      </c>
    </row>
    <row r="1072" spans="1:2" x14ac:dyDescent="0.25">
      <c r="A1072" s="6">
        <v>37362</v>
      </c>
      <c r="B1072">
        <v>6.7045999999999989E-4</v>
      </c>
    </row>
    <row r="1073" spans="1:2" x14ac:dyDescent="0.25">
      <c r="A1073" s="6">
        <v>37363</v>
      </c>
      <c r="B1073">
        <v>6.7045999999999989E-4</v>
      </c>
    </row>
    <row r="1074" spans="1:2" x14ac:dyDescent="0.25">
      <c r="A1074" s="6">
        <v>37364</v>
      </c>
      <c r="B1074">
        <v>6.7045999999999989E-4</v>
      </c>
    </row>
    <row r="1075" spans="1:2" x14ac:dyDescent="0.25">
      <c r="A1075" s="6">
        <v>37365</v>
      </c>
      <c r="B1075">
        <v>6.7012000000000007E-4</v>
      </c>
    </row>
    <row r="1076" spans="1:2" x14ac:dyDescent="0.25">
      <c r="A1076" s="6">
        <v>37368</v>
      </c>
      <c r="B1076">
        <v>6.6978999999999997E-4</v>
      </c>
    </row>
    <row r="1077" spans="1:2" x14ac:dyDescent="0.25">
      <c r="A1077" s="6">
        <v>37369</v>
      </c>
      <c r="B1077">
        <v>6.6878000000000011E-4</v>
      </c>
    </row>
    <row r="1078" spans="1:2" x14ac:dyDescent="0.25">
      <c r="A1078" s="6">
        <v>37370</v>
      </c>
      <c r="B1078">
        <v>6.6843999999999996E-4</v>
      </c>
    </row>
    <row r="1079" spans="1:2" x14ac:dyDescent="0.25">
      <c r="A1079" s="6">
        <v>37371</v>
      </c>
      <c r="B1079">
        <v>6.6945000000000004E-4</v>
      </c>
    </row>
    <row r="1080" spans="1:2" x14ac:dyDescent="0.25">
      <c r="A1080" s="6">
        <v>37372</v>
      </c>
      <c r="B1080">
        <v>6.6912000000000004E-4</v>
      </c>
    </row>
    <row r="1081" spans="1:2" x14ac:dyDescent="0.25">
      <c r="A1081" s="6">
        <v>37375</v>
      </c>
      <c r="B1081">
        <v>6.6642999999999997E-4</v>
      </c>
    </row>
    <row r="1082" spans="1:2" x14ac:dyDescent="0.25">
      <c r="A1082" s="6">
        <v>37376</v>
      </c>
      <c r="B1082">
        <v>6.6072000000000006E-4</v>
      </c>
    </row>
    <row r="1083" spans="1:2" x14ac:dyDescent="0.25">
      <c r="A1083" s="6">
        <v>37378</v>
      </c>
      <c r="B1083">
        <v>6.6945000000000004E-4</v>
      </c>
    </row>
    <row r="1084" spans="1:2" x14ac:dyDescent="0.25">
      <c r="A1084" s="6">
        <v>37379</v>
      </c>
      <c r="B1084">
        <v>6.6843999999999996E-4</v>
      </c>
    </row>
    <row r="1085" spans="1:2" x14ac:dyDescent="0.25">
      <c r="A1085" s="6">
        <v>37382</v>
      </c>
      <c r="B1085">
        <v>6.6810999999999997E-4</v>
      </c>
    </row>
    <row r="1086" spans="1:2" x14ac:dyDescent="0.25">
      <c r="A1086" s="6">
        <v>37383</v>
      </c>
      <c r="B1086">
        <v>6.6642999999999997E-4</v>
      </c>
    </row>
    <row r="1087" spans="1:2" x14ac:dyDescent="0.25">
      <c r="A1087" s="6">
        <v>37384</v>
      </c>
      <c r="B1087">
        <v>6.6609000000000004E-4</v>
      </c>
    </row>
    <row r="1088" spans="1:2" x14ac:dyDescent="0.25">
      <c r="A1088" s="6">
        <v>37385</v>
      </c>
      <c r="B1088">
        <v>6.6843999999999996E-4</v>
      </c>
    </row>
    <row r="1089" spans="1:2" x14ac:dyDescent="0.25">
      <c r="A1089" s="6">
        <v>37386</v>
      </c>
      <c r="B1089">
        <v>6.6945000000000004E-4</v>
      </c>
    </row>
    <row r="1090" spans="1:2" x14ac:dyDescent="0.25">
      <c r="A1090" s="6">
        <v>37389</v>
      </c>
      <c r="B1090">
        <v>6.7045999999999989E-4</v>
      </c>
    </row>
    <row r="1091" spans="1:2" x14ac:dyDescent="0.25">
      <c r="A1091" s="6">
        <v>37390</v>
      </c>
      <c r="B1091">
        <v>6.7078999999999999E-4</v>
      </c>
    </row>
    <row r="1092" spans="1:2" x14ac:dyDescent="0.25">
      <c r="A1092" s="6">
        <v>37391</v>
      </c>
      <c r="B1092">
        <v>6.7113000000000003E-4</v>
      </c>
    </row>
    <row r="1093" spans="1:2" x14ac:dyDescent="0.25">
      <c r="A1093" s="6">
        <v>37392</v>
      </c>
      <c r="B1093">
        <v>6.7113000000000003E-4</v>
      </c>
    </row>
    <row r="1094" spans="1:2" x14ac:dyDescent="0.25">
      <c r="A1094" s="6">
        <v>37393</v>
      </c>
      <c r="B1094">
        <v>6.7078999999999999E-4</v>
      </c>
    </row>
    <row r="1095" spans="1:2" x14ac:dyDescent="0.25">
      <c r="A1095" s="6">
        <v>37396</v>
      </c>
      <c r="B1095">
        <v>6.7078999999999999E-4</v>
      </c>
    </row>
    <row r="1096" spans="1:2" x14ac:dyDescent="0.25">
      <c r="A1096" s="6">
        <v>37397</v>
      </c>
      <c r="B1096">
        <v>6.7045999999999989E-4</v>
      </c>
    </row>
    <row r="1097" spans="1:2" x14ac:dyDescent="0.25">
      <c r="A1097" s="6">
        <v>37398</v>
      </c>
      <c r="B1097">
        <v>6.6945000000000004E-4</v>
      </c>
    </row>
    <row r="1098" spans="1:2" x14ac:dyDescent="0.25">
      <c r="A1098" s="6">
        <v>37399</v>
      </c>
      <c r="B1098">
        <v>6.7078999999999999E-4</v>
      </c>
    </row>
    <row r="1099" spans="1:2" x14ac:dyDescent="0.25">
      <c r="A1099" s="6">
        <v>37400</v>
      </c>
      <c r="B1099">
        <v>6.7113000000000003E-4</v>
      </c>
    </row>
    <row r="1100" spans="1:2" x14ac:dyDescent="0.25">
      <c r="A1100" s="6">
        <v>37403</v>
      </c>
      <c r="B1100">
        <v>6.7078999999999999E-4</v>
      </c>
    </row>
    <row r="1101" spans="1:2" x14ac:dyDescent="0.25">
      <c r="A1101" s="6">
        <v>37404</v>
      </c>
      <c r="B1101">
        <v>6.7078999999999999E-4</v>
      </c>
    </row>
    <row r="1102" spans="1:2" x14ac:dyDescent="0.25">
      <c r="A1102" s="6">
        <v>37405</v>
      </c>
      <c r="B1102">
        <v>6.6810999999999997E-4</v>
      </c>
    </row>
    <row r="1103" spans="1:2" x14ac:dyDescent="0.25">
      <c r="A1103" s="6">
        <v>37407</v>
      </c>
      <c r="B1103">
        <v>6.6239999999999995E-4</v>
      </c>
    </row>
    <row r="1104" spans="1:2" x14ac:dyDescent="0.25">
      <c r="A1104" s="6">
        <v>37410</v>
      </c>
      <c r="B1104">
        <v>6.3372999999999999E-4</v>
      </c>
    </row>
    <row r="1105" spans="1:2" x14ac:dyDescent="0.25">
      <c r="A1105" s="6">
        <v>37411</v>
      </c>
      <c r="B1105">
        <v>5.8571999999999997E-4</v>
      </c>
    </row>
    <row r="1106" spans="1:2" x14ac:dyDescent="0.25">
      <c r="A1106" s="6">
        <v>37412</v>
      </c>
      <c r="B1106">
        <v>6.1881000000000002E-4</v>
      </c>
    </row>
    <row r="1107" spans="1:2" x14ac:dyDescent="0.25">
      <c r="A1107" s="6">
        <v>37413</v>
      </c>
      <c r="B1107">
        <v>6.5701999999999991E-4</v>
      </c>
    </row>
    <row r="1108" spans="1:2" x14ac:dyDescent="0.25">
      <c r="A1108" s="6">
        <v>37414</v>
      </c>
      <c r="B1108">
        <v>6.6475000000000008E-4</v>
      </c>
    </row>
    <row r="1109" spans="1:2" x14ac:dyDescent="0.25">
      <c r="A1109" s="6">
        <v>37417</v>
      </c>
      <c r="B1109">
        <v>6.6743999999999994E-4</v>
      </c>
    </row>
    <row r="1110" spans="1:2" x14ac:dyDescent="0.25">
      <c r="A1110" s="6">
        <v>37418</v>
      </c>
      <c r="B1110">
        <v>6.6843999999999996E-4</v>
      </c>
    </row>
    <row r="1111" spans="1:2" x14ac:dyDescent="0.25">
      <c r="A1111" s="6">
        <v>37419</v>
      </c>
      <c r="B1111">
        <v>6.6677000000000001E-4</v>
      </c>
    </row>
    <row r="1112" spans="1:2" x14ac:dyDescent="0.25">
      <c r="A1112" s="6">
        <v>37420</v>
      </c>
      <c r="B1112">
        <v>6.6777000000000004E-4</v>
      </c>
    </row>
    <row r="1113" spans="1:2" x14ac:dyDescent="0.25">
      <c r="A1113" s="6">
        <v>37421</v>
      </c>
      <c r="B1113">
        <v>6.6978999999999997E-4</v>
      </c>
    </row>
    <row r="1114" spans="1:2" x14ac:dyDescent="0.25">
      <c r="A1114" s="6">
        <v>37424</v>
      </c>
      <c r="B1114">
        <v>6.7045999999999989E-4</v>
      </c>
    </row>
    <row r="1115" spans="1:2" x14ac:dyDescent="0.25">
      <c r="A1115" s="6">
        <v>37425</v>
      </c>
      <c r="B1115">
        <v>6.7045999999999989E-4</v>
      </c>
    </row>
    <row r="1116" spans="1:2" x14ac:dyDescent="0.25">
      <c r="A1116" s="6">
        <v>37426</v>
      </c>
      <c r="B1116">
        <v>6.7045999999999989E-4</v>
      </c>
    </row>
    <row r="1117" spans="1:2" x14ac:dyDescent="0.25">
      <c r="A1117" s="6">
        <v>37427</v>
      </c>
      <c r="B1117">
        <v>6.7078999999999999E-4</v>
      </c>
    </row>
    <row r="1118" spans="1:2" x14ac:dyDescent="0.25">
      <c r="A1118" s="6">
        <v>37428</v>
      </c>
      <c r="B1118">
        <v>6.7078999999999999E-4</v>
      </c>
    </row>
    <row r="1119" spans="1:2" x14ac:dyDescent="0.25">
      <c r="A1119" s="6">
        <v>37431</v>
      </c>
      <c r="B1119">
        <v>6.7078999999999999E-4</v>
      </c>
    </row>
    <row r="1120" spans="1:2" x14ac:dyDescent="0.25">
      <c r="A1120" s="6">
        <v>37432</v>
      </c>
      <c r="B1120">
        <v>6.7078999999999999E-4</v>
      </c>
    </row>
    <row r="1121" spans="1:2" x14ac:dyDescent="0.25">
      <c r="A1121" s="6">
        <v>37433</v>
      </c>
      <c r="B1121">
        <v>6.7078999999999999E-4</v>
      </c>
    </row>
    <row r="1122" spans="1:2" x14ac:dyDescent="0.25">
      <c r="A1122" s="6">
        <v>37434</v>
      </c>
      <c r="B1122">
        <v>6.7078999999999999E-4</v>
      </c>
    </row>
    <row r="1123" spans="1:2" x14ac:dyDescent="0.25">
      <c r="A1123" s="6">
        <v>37435</v>
      </c>
      <c r="B1123">
        <v>6.7078999999999999E-4</v>
      </c>
    </row>
    <row r="1124" spans="1:2" x14ac:dyDescent="0.25">
      <c r="A1124" s="6">
        <v>37438</v>
      </c>
      <c r="B1124">
        <v>6.7078999999999999E-4</v>
      </c>
    </row>
    <row r="1125" spans="1:2" x14ac:dyDescent="0.25">
      <c r="A1125" s="6">
        <v>37439</v>
      </c>
      <c r="B1125">
        <v>6.7045999999999989E-4</v>
      </c>
    </row>
    <row r="1126" spans="1:2" x14ac:dyDescent="0.25">
      <c r="A1126" s="6">
        <v>37440</v>
      </c>
      <c r="B1126">
        <v>6.7045999999999989E-4</v>
      </c>
    </row>
    <row r="1127" spans="1:2" x14ac:dyDescent="0.25">
      <c r="A1127" s="6">
        <v>37441</v>
      </c>
      <c r="B1127">
        <v>6.7012000000000007E-4</v>
      </c>
    </row>
    <row r="1128" spans="1:2" x14ac:dyDescent="0.25">
      <c r="A1128" s="6">
        <v>37442</v>
      </c>
      <c r="B1128">
        <v>6.7012000000000007E-4</v>
      </c>
    </row>
    <row r="1129" spans="1:2" x14ac:dyDescent="0.25">
      <c r="A1129" s="6">
        <v>37445</v>
      </c>
      <c r="B1129">
        <v>6.7078999999999999E-4</v>
      </c>
    </row>
    <row r="1130" spans="1:2" x14ac:dyDescent="0.25">
      <c r="A1130" s="6">
        <v>37446</v>
      </c>
      <c r="B1130">
        <v>6.7078999999999999E-4</v>
      </c>
    </row>
    <row r="1131" spans="1:2" x14ac:dyDescent="0.25">
      <c r="A1131" s="6">
        <v>37447</v>
      </c>
      <c r="B1131">
        <v>6.7045999999999989E-4</v>
      </c>
    </row>
    <row r="1132" spans="1:2" x14ac:dyDescent="0.25">
      <c r="A1132" s="6">
        <v>37448</v>
      </c>
      <c r="B1132">
        <v>6.7045999999999989E-4</v>
      </c>
    </row>
    <row r="1133" spans="1:2" x14ac:dyDescent="0.25">
      <c r="A1133" s="6">
        <v>37449</v>
      </c>
      <c r="B1133">
        <v>6.7012000000000007E-4</v>
      </c>
    </row>
    <row r="1134" spans="1:2" x14ac:dyDescent="0.25">
      <c r="A1134" s="6">
        <v>37452</v>
      </c>
      <c r="B1134">
        <v>6.7012000000000007E-4</v>
      </c>
    </row>
    <row r="1135" spans="1:2" x14ac:dyDescent="0.25">
      <c r="A1135" s="6">
        <v>37453</v>
      </c>
      <c r="B1135">
        <v>6.7012000000000007E-4</v>
      </c>
    </row>
    <row r="1136" spans="1:2" x14ac:dyDescent="0.25">
      <c r="A1136" s="6">
        <v>37454</v>
      </c>
      <c r="B1136">
        <v>6.7012000000000007E-4</v>
      </c>
    </row>
    <row r="1137" spans="1:2" x14ac:dyDescent="0.25">
      <c r="A1137" s="6">
        <v>37455</v>
      </c>
      <c r="B1137">
        <v>6.5331999999999999E-4</v>
      </c>
    </row>
    <row r="1138" spans="1:2" x14ac:dyDescent="0.25">
      <c r="A1138" s="6">
        <v>37456</v>
      </c>
      <c r="B1138">
        <v>6.5331999999999999E-4</v>
      </c>
    </row>
    <row r="1139" spans="1:2" x14ac:dyDescent="0.25">
      <c r="A1139" s="6">
        <v>37459</v>
      </c>
      <c r="B1139">
        <v>6.5331999999999999E-4</v>
      </c>
    </row>
    <row r="1140" spans="1:2" x14ac:dyDescent="0.25">
      <c r="A1140" s="6">
        <v>37460</v>
      </c>
      <c r="B1140">
        <v>6.5331999999999999E-4</v>
      </c>
    </row>
    <row r="1141" spans="1:2" x14ac:dyDescent="0.25">
      <c r="A1141" s="6">
        <v>37461</v>
      </c>
      <c r="B1141">
        <v>6.5264000000000001E-4</v>
      </c>
    </row>
    <row r="1142" spans="1:2" x14ac:dyDescent="0.25">
      <c r="A1142" s="6">
        <v>37462</v>
      </c>
      <c r="B1142">
        <v>6.5264000000000001E-4</v>
      </c>
    </row>
    <row r="1143" spans="1:2" x14ac:dyDescent="0.25">
      <c r="A1143" s="6">
        <v>37463</v>
      </c>
      <c r="B1143">
        <v>6.5264000000000001E-4</v>
      </c>
    </row>
    <row r="1144" spans="1:2" x14ac:dyDescent="0.25">
      <c r="A1144" s="6">
        <v>37466</v>
      </c>
      <c r="B1144">
        <v>6.5231000000000002E-4</v>
      </c>
    </row>
    <row r="1145" spans="1:2" x14ac:dyDescent="0.25">
      <c r="A1145" s="6">
        <v>37467</v>
      </c>
      <c r="B1145">
        <v>6.5162999999999994E-4</v>
      </c>
    </row>
    <row r="1146" spans="1:2" x14ac:dyDescent="0.25">
      <c r="A1146" s="6">
        <v>37468</v>
      </c>
      <c r="B1146">
        <v>6.5264000000000001E-4</v>
      </c>
    </row>
    <row r="1147" spans="1:2" x14ac:dyDescent="0.25">
      <c r="A1147" s="6">
        <v>37469</v>
      </c>
      <c r="B1147">
        <v>6.5129000000000012E-4</v>
      </c>
    </row>
    <row r="1148" spans="1:2" x14ac:dyDescent="0.25">
      <c r="A1148" s="6">
        <v>37470</v>
      </c>
      <c r="B1148">
        <v>6.5162999999999994E-4</v>
      </c>
    </row>
    <row r="1149" spans="1:2" x14ac:dyDescent="0.25">
      <c r="A1149" s="6">
        <v>37473</v>
      </c>
      <c r="B1149">
        <v>6.5264000000000001E-4</v>
      </c>
    </row>
    <row r="1150" spans="1:2" x14ac:dyDescent="0.25">
      <c r="A1150" s="6">
        <v>37474</v>
      </c>
      <c r="B1150">
        <v>6.5264000000000001E-4</v>
      </c>
    </row>
    <row r="1151" spans="1:2" x14ac:dyDescent="0.25">
      <c r="A1151" s="6">
        <v>37475</v>
      </c>
      <c r="B1151">
        <v>6.5231000000000002E-4</v>
      </c>
    </row>
    <row r="1152" spans="1:2" x14ac:dyDescent="0.25">
      <c r="A1152" s="6">
        <v>37476</v>
      </c>
      <c r="B1152">
        <v>6.5129000000000012E-4</v>
      </c>
    </row>
    <row r="1153" spans="1:2" x14ac:dyDescent="0.25">
      <c r="A1153" s="6">
        <v>37477</v>
      </c>
      <c r="B1153">
        <v>6.5129000000000012E-4</v>
      </c>
    </row>
    <row r="1154" spans="1:2" x14ac:dyDescent="0.25">
      <c r="A1154" s="6">
        <v>37480</v>
      </c>
      <c r="B1154">
        <v>6.5129000000000012E-4</v>
      </c>
    </row>
    <row r="1155" spans="1:2" x14ac:dyDescent="0.25">
      <c r="A1155" s="6">
        <v>37481</v>
      </c>
      <c r="B1155">
        <v>6.5096000000000002E-4</v>
      </c>
    </row>
    <row r="1156" spans="1:2" x14ac:dyDescent="0.25">
      <c r="A1156" s="6">
        <v>37482</v>
      </c>
      <c r="B1156">
        <v>6.5264000000000001E-4</v>
      </c>
    </row>
    <row r="1157" spans="1:2" x14ac:dyDescent="0.25">
      <c r="A1157" s="6">
        <v>37483</v>
      </c>
      <c r="B1157">
        <v>6.5264000000000001E-4</v>
      </c>
    </row>
    <row r="1158" spans="1:2" x14ac:dyDescent="0.25">
      <c r="A1158" s="6">
        <v>37484</v>
      </c>
      <c r="B1158">
        <v>6.5096000000000002E-4</v>
      </c>
    </row>
    <row r="1159" spans="1:2" x14ac:dyDescent="0.25">
      <c r="A1159" s="6">
        <v>37487</v>
      </c>
      <c r="B1159">
        <v>6.5096000000000002E-4</v>
      </c>
    </row>
    <row r="1160" spans="1:2" x14ac:dyDescent="0.25">
      <c r="A1160" s="6">
        <v>37488</v>
      </c>
      <c r="B1160">
        <v>6.5264000000000001E-4</v>
      </c>
    </row>
    <row r="1161" spans="1:2" x14ac:dyDescent="0.25">
      <c r="A1161" s="6">
        <v>37489</v>
      </c>
      <c r="B1161">
        <v>6.5264000000000001E-4</v>
      </c>
    </row>
    <row r="1162" spans="1:2" x14ac:dyDescent="0.25">
      <c r="A1162" s="6">
        <v>37490</v>
      </c>
      <c r="B1162">
        <v>6.5096000000000002E-4</v>
      </c>
    </row>
    <row r="1163" spans="1:2" x14ac:dyDescent="0.25">
      <c r="A1163" s="6">
        <v>37491</v>
      </c>
      <c r="B1163">
        <v>6.5061999999999997E-4</v>
      </c>
    </row>
    <row r="1164" spans="1:2" x14ac:dyDescent="0.25">
      <c r="A1164" s="6">
        <v>37494</v>
      </c>
      <c r="B1164">
        <v>6.5061999999999997E-4</v>
      </c>
    </row>
    <row r="1165" spans="1:2" x14ac:dyDescent="0.25">
      <c r="A1165" s="6">
        <v>37495</v>
      </c>
      <c r="B1165">
        <v>6.5061999999999997E-4</v>
      </c>
    </row>
    <row r="1166" spans="1:2" x14ac:dyDescent="0.25">
      <c r="A1166" s="6">
        <v>37496</v>
      </c>
      <c r="B1166">
        <v>6.5264000000000001E-4</v>
      </c>
    </row>
    <row r="1167" spans="1:2" x14ac:dyDescent="0.25">
      <c r="A1167" s="6">
        <v>37497</v>
      </c>
      <c r="B1167">
        <v>6.5129000000000012E-4</v>
      </c>
    </row>
    <row r="1168" spans="1:2" x14ac:dyDescent="0.25">
      <c r="A1168" s="6">
        <v>37498</v>
      </c>
      <c r="B1168">
        <v>6.5096000000000002E-4</v>
      </c>
    </row>
    <row r="1169" spans="1:2" x14ac:dyDescent="0.25">
      <c r="A1169" s="6">
        <v>37501</v>
      </c>
      <c r="B1169">
        <v>6.5264000000000001E-4</v>
      </c>
    </row>
    <row r="1170" spans="1:2" x14ac:dyDescent="0.25">
      <c r="A1170" s="6">
        <v>37502</v>
      </c>
      <c r="B1170">
        <v>6.5264000000000001E-4</v>
      </c>
    </row>
    <row r="1171" spans="1:2" x14ac:dyDescent="0.25">
      <c r="A1171" s="6">
        <v>37503</v>
      </c>
      <c r="B1171">
        <v>6.5264000000000001E-4</v>
      </c>
    </row>
    <row r="1172" spans="1:2" x14ac:dyDescent="0.25">
      <c r="A1172" s="6">
        <v>37504</v>
      </c>
      <c r="B1172">
        <v>6.5297999999999995E-4</v>
      </c>
    </row>
    <row r="1173" spans="1:2" x14ac:dyDescent="0.25">
      <c r="A1173" s="6">
        <v>37505</v>
      </c>
      <c r="B1173">
        <v>6.5331999999999999E-4</v>
      </c>
    </row>
    <row r="1174" spans="1:2" x14ac:dyDescent="0.25">
      <c r="A1174" s="6">
        <v>37508</v>
      </c>
      <c r="B1174">
        <v>6.5365000000000009E-4</v>
      </c>
    </row>
    <row r="1175" spans="1:2" x14ac:dyDescent="0.25">
      <c r="A1175" s="6">
        <v>37509</v>
      </c>
      <c r="B1175">
        <v>6.5365000000000009E-4</v>
      </c>
    </row>
    <row r="1176" spans="1:2" x14ac:dyDescent="0.25">
      <c r="A1176" s="6">
        <v>37510</v>
      </c>
      <c r="B1176">
        <v>6.5365000000000009E-4</v>
      </c>
    </row>
    <row r="1177" spans="1:2" x14ac:dyDescent="0.25">
      <c r="A1177" s="6">
        <v>37511</v>
      </c>
      <c r="B1177">
        <v>6.5365000000000009E-4</v>
      </c>
    </row>
    <row r="1178" spans="1:2" x14ac:dyDescent="0.25">
      <c r="A1178" s="6">
        <v>37512</v>
      </c>
      <c r="B1178">
        <v>6.5365000000000009E-4</v>
      </c>
    </row>
    <row r="1179" spans="1:2" x14ac:dyDescent="0.25">
      <c r="A1179" s="6">
        <v>37515</v>
      </c>
      <c r="B1179">
        <v>6.5365000000000009E-4</v>
      </c>
    </row>
    <row r="1180" spans="1:2" x14ac:dyDescent="0.25">
      <c r="A1180" s="6">
        <v>37516</v>
      </c>
      <c r="B1180">
        <v>6.5365000000000009E-4</v>
      </c>
    </row>
    <row r="1181" spans="1:2" x14ac:dyDescent="0.25">
      <c r="A1181" s="6">
        <v>37517</v>
      </c>
      <c r="B1181">
        <v>6.5365000000000009E-4</v>
      </c>
    </row>
    <row r="1182" spans="1:2" x14ac:dyDescent="0.25">
      <c r="A1182" s="6">
        <v>37518</v>
      </c>
      <c r="B1182">
        <v>6.5365000000000009E-4</v>
      </c>
    </row>
    <row r="1183" spans="1:2" x14ac:dyDescent="0.25">
      <c r="A1183" s="6">
        <v>37519</v>
      </c>
      <c r="B1183">
        <v>6.5365000000000009E-4</v>
      </c>
    </row>
    <row r="1184" spans="1:2" x14ac:dyDescent="0.25">
      <c r="A1184" s="6">
        <v>37522</v>
      </c>
      <c r="B1184">
        <v>6.5365000000000009E-4</v>
      </c>
    </row>
    <row r="1185" spans="1:2" x14ac:dyDescent="0.25">
      <c r="A1185" s="6">
        <v>37523</v>
      </c>
      <c r="B1185">
        <v>6.5365000000000009E-4</v>
      </c>
    </row>
    <row r="1186" spans="1:2" x14ac:dyDescent="0.25">
      <c r="A1186" s="6">
        <v>37524</v>
      </c>
      <c r="B1186">
        <v>6.5365000000000009E-4</v>
      </c>
    </row>
    <row r="1187" spans="1:2" x14ac:dyDescent="0.25">
      <c r="A1187" s="6">
        <v>37525</v>
      </c>
      <c r="B1187">
        <v>6.5365000000000009E-4</v>
      </c>
    </row>
    <row r="1188" spans="1:2" x14ac:dyDescent="0.25">
      <c r="A1188" s="6">
        <v>37526</v>
      </c>
      <c r="B1188">
        <v>6.5365000000000009E-4</v>
      </c>
    </row>
    <row r="1189" spans="1:2" x14ac:dyDescent="0.25">
      <c r="A1189" s="6">
        <v>37529</v>
      </c>
      <c r="B1189">
        <v>6.5365000000000009E-4</v>
      </c>
    </row>
    <row r="1190" spans="1:2" x14ac:dyDescent="0.25">
      <c r="A1190" s="6">
        <v>37530</v>
      </c>
      <c r="B1190">
        <v>6.5365000000000009E-4</v>
      </c>
    </row>
    <row r="1191" spans="1:2" x14ac:dyDescent="0.25">
      <c r="A1191" s="6">
        <v>37531</v>
      </c>
      <c r="B1191">
        <v>6.5365000000000009E-4</v>
      </c>
    </row>
    <row r="1192" spans="1:2" x14ac:dyDescent="0.25">
      <c r="A1192" s="6">
        <v>37532</v>
      </c>
      <c r="B1192">
        <v>6.5365000000000009E-4</v>
      </c>
    </row>
    <row r="1193" spans="1:2" x14ac:dyDescent="0.25">
      <c r="A1193" s="6">
        <v>37533</v>
      </c>
      <c r="B1193">
        <v>6.5365000000000009E-4</v>
      </c>
    </row>
    <row r="1194" spans="1:2" x14ac:dyDescent="0.25">
      <c r="A1194" s="6">
        <v>37536</v>
      </c>
      <c r="B1194">
        <v>6.5365000000000009E-4</v>
      </c>
    </row>
    <row r="1195" spans="1:2" x14ac:dyDescent="0.25">
      <c r="A1195" s="6">
        <v>37537</v>
      </c>
      <c r="B1195">
        <v>6.5365000000000009E-4</v>
      </c>
    </row>
    <row r="1196" spans="1:2" x14ac:dyDescent="0.25">
      <c r="A1196" s="6">
        <v>37538</v>
      </c>
      <c r="B1196">
        <v>6.5365000000000009E-4</v>
      </c>
    </row>
    <row r="1197" spans="1:2" x14ac:dyDescent="0.25">
      <c r="A1197" s="6">
        <v>37539</v>
      </c>
      <c r="B1197">
        <v>6.5365000000000009E-4</v>
      </c>
    </row>
    <row r="1198" spans="1:2" x14ac:dyDescent="0.25">
      <c r="A1198" s="6">
        <v>37540</v>
      </c>
      <c r="B1198">
        <v>6.5365000000000009E-4</v>
      </c>
    </row>
    <row r="1199" spans="1:2" x14ac:dyDescent="0.25">
      <c r="A1199" s="6">
        <v>37543</v>
      </c>
      <c r="B1199">
        <v>6.5365000000000009E-4</v>
      </c>
    </row>
    <row r="1200" spans="1:2" x14ac:dyDescent="0.25">
      <c r="A1200" s="6">
        <v>37544</v>
      </c>
      <c r="B1200">
        <v>7.5342999999999992E-4</v>
      </c>
    </row>
    <row r="1201" spans="1:2" x14ac:dyDescent="0.25">
      <c r="A1201" s="6">
        <v>37545</v>
      </c>
      <c r="B1201">
        <v>7.5342999999999992E-4</v>
      </c>
    </row>
    <row r="1202" spans="1:2" x14ac:dyDescent="0.25">
      <c r="A1202" s="6">
        <v>37546</v>
      </c>
      <c r="B1202">
        <v>7.5342999999999992E-4</v>
      </c>
    </row>
    <row r="1203" spans="1:2" x14ac:dyDescent="0.25">
      <c r="A1203" s="6">
        <v>37547</v>
      </c>
      <c r="B1203">
        <v>7.5342999999999992E-4</v>
      </c>
    </row>
    <row r="1204" spans="1:2" x14ac:dyDescent="0.25">
      <c r="A1204" s="6">
        <v>37550</v>
      </c>
      <c r="B1204">
        <v>7.5342999999999992E-4</v>
      </c>
    </row>
    <row r="1205" spans="1:2" x14ac:dyDescent="0.25">
      <c r="A1205" s="6">
        <v>37551</v>
      </c>
      <c r="B1205">
        <v>7.5342999999999992E-4</v>
      </c>
    </row>
    <row r="1206" spans="1:2" x14ac:dyDescent="0.25">
      <c r="A1206" s="6">
        <v>37552</v>
      </c>
      <c r="B1206">
        <v>7.5342999999999992E-4</v>
      </c>
    </row>
    <row r="1207" spans="1:2" x14ac:dyDescent="0.25">
      <c r="A1207" s="6">
        <v>37553</v>
      </c>
      <c r="B1207">
        <v>7.5342999999999992E-4</v>
      </c>
    </row>
    <row r="1208" spans="1:2" x14ac:dyDescent="0.25">
      <c r="A1208" s="6">
        <v>37554</v>
      </c>
      <c r="B1208">
        <v>7.5342999999999992E-4</v>
      </c>
    </row>
    <row r="1209" spans="1:2" x14ac:dyDescent="0.25">
      <c r="A1209" s="6">
        <v>37557</v>
      </c>
      <c r="B1209">
        <v>7.5342999999999992E-4</v>
      </c>
    </row>
    <row r="1210" spans="1:2" x14ac:dyDescent="0.25">
      <c r="A1210" s="6">
        <v>37558</v>
      </c>
      <c r="B1210">
        <v>7.5342999999999992E-4</v>
      </c>
    </row>
    <row r="1211" spans="1:2" x14ac:dyDescent="0.25">
      <c r="A1211" s="6">
        <v>37559</v>
      </c>
      <c r="B1211">
        <v>7.5342999999999992E-4</v>
      </c>
    </row>
    <row r="1212" spans="1:2" x14ac:dyDescent="0.25">
      <c r="A1212" s="6">
        <v>37560</v>
      </c>
      <c r="B1212">
        <v>7.5342999999999992E-4</v>
      </c>
    </row>
    <row r="1213" spans="1:2" x14ac:dyDescent="0.25">
      <c r="A1213" s="6">
        <v>37561</v>
      </c>
      <c r="B1213">
        <v>7.5342999999999992E-4</v>
      </c>
    </row>
    <row r="1214" spans="1:2" x14ac:dyDescent="0.25">
      <c r="A1214" s="6">
        <v>37564</v>
      </c>
      <c r="B1214">
        <v>7.5342999999999992E-4</v>
      </c>
    </row>
    <row r="1215" spans="1:2" x14ac:dyDescent="0.25">
      <c r="A1215" s="6">
        <v>37565</v>
      </c>
      <c r="B1215">
        <v>7.5342999999999992E-4</v>
      </c>
    </row>
    <row r="1216" spans="1:2" x14ac:dyDescent="0.25">
      <c r="A1216" s="6">
        <v>37566</v>
      </c>
      <c r="B1216">
        <v>7.5342999999999992E-4</v>
      </c>
    </row>
    <row r="1217" spans="1:2" x14ac:dyDescent="0.25">
      <c r="A1217" s="6">
        <v>37567</v>
      </c>
      <c r="B1217">
        <v>7.5342999999999992E-4</v>
      </c>
    </row>
    <row r="1218" spans="1:2" x14ac:dyDescent="0.25">
      <c r="A1218" s="6">
        <v>37568</v>
      </c>
      <c r="B1218">
        <v>7.5342999999999992E-4</v>
      </c>
    </row>
    <row r="1219" spans="1:2" x14ac:dyDescent="0.25">
      <c r="A1219" s="6">
        <v>37571</v>
      </c>
      <c r="B1219">
        <v>7.5342999999999992E-4</v>
      </c>
    </row>
    <row r="1220" spans="1:2" x14ac:dyDescent="0.25">
      <c r="A1220" s="6">
        <v>37572</v>
      </c>
      <c r="B1220">
        <v>7.5342999999999992E-4</v>
      </c>
    </row>
    <row r="1221" spans="1:2" x14ac:dyDescent="0.25">
      <c r="A1221" s="6">
        <v>37573</v>
      </c>
      <c r="B1221">
        <v>7.5342999999999992E-4</v>
      </c>
    </row>
    <row r="1222" spans="1:2" x14ac:dyDescent="0.25">
      <c r="A1222" s="6">
        <v>37574</v>
      </c>
      <c r="B1222">
        <v>7.5342999999999992E-4</v>
      </c>
    </row>
    <row r="1223" spans="1:2" x14ac:dyDescent="0.25">
      <c r="A1223" s="6">
        <v>37578</v>
      </c>
      <c r="B1223">
        <v>7.5342999999999992E-4</v>
      </c>
    </row>
    <row r="1224" spans="1:2" x14ac:dyDescent="0.25">
      <c r="A1224" s="6">
        <v>37579</v>
      </c>
      <c r="B1224">
        <v>7.5342999999999992E-4</v>
      </c>
    </row>
    <row r="1225" spans="1:2" x14ac:dyDescent="0.25">
      <c r="A1225" s="6">
        <v>37580</v>
      </c>
      <c r="B1225">
        <v>7.5342999999999992E-4</v>
      </c>
    </row>
    <row r="1226" spans="1:2" x14ac:dyDescent="0.25">
      <c r="A1226" s="6">
        <v>37581</v>
      </c>
      <c r="B1226">
        <v>7.8615E-4</v>
      </c>
    </row>
    <row r="1227" spans="1:2" x14ac:dyDescent="0.25">
      <c r="A1227" s="6">
        <v>37582</v>
      </c>
      <c r="B1227">
        <v>7.8615E-4</v>
      </c>
    </row>
    <row r="1228" spans="1:2" x14ac:dyDescent="0.25">
      <c r="A1228" s="6">
        <v>37585</v>
      </c>
      <c r="B1228">
        <v>7.8615E-4</v>
      </c>
    </row>
    <row r="1229" spans="1:2" x14ac:dyDescent="0.25">
      <c r="A1229" s="6">
        <v>37586</v>
      </c>
      <c r="B1229">
        <v>7.8615E-4</v>
      </c>
    </row>
    <row r="1230" spans="1:2" x14ac:dyDescent="0.25">
      <c r="A1230" s="6">
        <v>37587</v>
      </c>
      <c r="B1230">
        <v>7.8615E-4</v>
      </c>
    </row>
    <row r="1231" spans="1:2" x14ac:dyDescent="0.25">
      <c r="A1231" s="6">
        <v>37588</v>
      </c>
      <c r="B1231">
        <v>7.8615E-4</v>
      </c>
    </row>
    <row r="1232" spans="1:2" x14ac:dyDescent="0.25">
      <c r="A1232" s="6">
        <v>37589</v>
      </c>
      <c r="B1232">
        <v>7.8615E-4</v>
      </c>
    </row>
    <row r="1233" spans="1:2" x14ac:dyDescent="0.25">
      <c r="A1233" s="6">
        <v>37592</v>
      </c>
      <c r="B1233">
        <v>7.8615E-4</v>
      </c>
    </row>
    <row r="1234" spans="1:2" x14ac:dyDescent="0.25">
      <c r="A1234" s="6">
        <v>37593</v>
      </c>
      <c r="B1234">
        <v>7.8615E-4</v>
      </c>
    </row>
    <row r="1235" spans="1:2" x14ac:dyDescent="0.25">
      <c r="A1235" s="6">
        <v>37594</v>
      </c>
      <c r="B1235">
        <v>7.8615E-4</v>
      </c>
    </row>
    <row r="1236" spans="1:2" x14ac:dyDescent="0.25">
      <c r="A1236" s="6">
        <v>37595</v>
      </c>
      <c r="B1236">
        <v>7.8615E-4</v>
      </c>
    </row>
    <row r="1237" spans="1:2" x14ac:dyDescent="0.25">
      <c r="A1237" s="6">
        <v>37596</v>
      </c>
      <c r="B1237">
        <v>7.8615E-4</v>
      </c>
    </row>
    <row r="1238" spans="1:2" x14ac:dyDescent="0.25">
      <c r="A1238" s="6">
        <v>37599</v>
      </c>
      <c r="B1238">
        <v>7.8615E-4</v>
      </c>
    </row>
    <row r="1239" spans="1:2" x14ac:dyDescent="0.25">
      <c r="A1239" s="6">
        <v>37600</v>
      </c>
      <c r="B1239">
        <v>7.8615E-4</v>
      </c>
    </row>
    <row r="1240" spans="1:2" x14ac:dyDescent="0.25">
      <c r="A1240" s="6">
        <v>37601</v>
      </c>
      <c r="B1240">
        <v>7.8615E-4</v>
      </c>
    </row>
    <row r="1241" spans="1:2" x14ac:dyDescent="0.25">
      <c r="A1241" s="6">
        <v>37602</v>
      </c>
      <c r="B1241">
        <v>7.8615E-4</v>
      </c>
    </row>
    <row r="1242" spans="1:2" x14ac:dyDescent="0.25">
      <c r="A1242" s="6">
        <v>37603</v>
      </c>
      <c r="B1242">
        <v>7.8615E-4</v>
      </c>
    </row>
    <row r="1243" spans="1:2" x14ac:dyDescent="0.25">
      <c r="A1243" s="6">
        <v>37606</v>
      </c>
      <c r="B1243">
        <v>7.8615E-4</v>
      </c>
    </row>
    <row r="1244" spans="1:2" x14ac:dyDescent="0.25">
      <c r="A1244" s="6">
        <v>37607</v>
      </c>
      <c r="B1244">
        <v>7.8615E-4</v>
      </c>
    </row>
    <row r="1245" spans="1:2" x14ac:dyDescent="0.25">
      <c r="A1245" s="6">
        <v>37608</v>
      </c>
      <c r="B1245">
        <v>7.8615E-4</v>
      </c>
    </row>
    <row r="1246" spans="1:2" x14ac:dyDescent="0.25">
      <c r="A1246" s="6">
        <v>37609</v>
      </c>
      <c r="B1246">
        <v>8.8270000000000004E-4</v>
      </c>
    </row>
    <row r="1247" spans="1:2" x14ac:dyDescent="0.25">
      <c r="A1247" s="6">
        <v>37610</v>
      </c>
      <c r="B1247">
        <v>8.8270000000000004E-4</v>
      </c>
    </row>
    <row r="1248" spans="1:2" x14ac:dyDescent="0.25">
      <c r="A1248" s="6">
        <v>37613</v>
      </c>
      <c r="B1248">
        <v>8.8270000000000004E-4</v>
      </c>
    </row>
    <row r="1249" spans="1:2" x14ac:dyDescent="0.25">
      <c r="A1249" s="6">
        <v>37614</v>
      </c>
      <c r="B1249">
        <v>8.8270000000000004E-4</v>
      </c>
    </row>
    <row r="1250" spans="1:2" x14ac:dyDescent="0.25">
      <c r="A1250" s="6">
        <v>37616</v>
      </c>
      <c r="B1250">
        <v>8.8270000000000004E-4</v>
      </c>
    </row>
    <row r="1251" spans="1:2" x14ac:dyDescent="0.25">
      <c r="A1251" s="6">
        <v>37617</v>
      </c>
      <c r="B1251">
        <v>8.8270000000000004E-4</v>
      </c>
    </row>
    <row r="1252" spans="1:2" x14ac:dyDescent="0.25">
      <c r="A1252" s="6">
        <v>37620</v>
      </c>
      <c r="B1252">
        <v>8.8270000000000004E-4</v>
      </c>
    </row>
    <row r="1253" spans="1:2" x14ac:dyDescent="0.25">
      <c r="A1253" s="6">
        <v>37621</v>
      </c>
      <c r="B1253">
        <v>8.8270000000000004E-4</v>
      </c>
    </row>
    <row r="1254" spans="1:2" x14ac:dyDescent="0.25">
      <c r="A1254" s="6">
        <v>37623</v>
      </c>
      <c r="B1254">
        <v>8.8270000000000004E-4</v>
      </c>
    </row>
    <row r="1255" spans="1:2" x14ac:dyDescent="0.25">
      <c r="A1255" s="6">
        <v>37624</v>
      </c>
      <c r="B1255">
        <v>8.8270000000000004E-4</v>
      </c>
    </row>
    <row r="1256" spans="1:2" x14ac:dyDescent="0.25">
      <c r="A1256" s="6">
        <v>37627</v>
      </c>
      <c r="B1256">
        <v>8.8270000000000004E-4</v>
      </c>
    </row>
    <row r="1257" spans="1:2" x14ac:dyDescent="0.25">
      <c r="A1257" s="6">
        <v>37628</v>
      </c>
      <c r="B1257">
        <v>8.8270000000000004E-4</v>
      </c>
    </row>
    <row r="1258" spans="1:2" x14ac:dyDescent="0.25">
      <c r="A1258" s="6">
        <v>37629</v>
      </c>
      <c r="B1258">
        <v>8.8270000000000004E-4</v>
      </c>
    </row>
    <row r="1259" spans="1:2" x14ac:dyDescent="0.25">
      <c r="A1259" s="6">
        <v>37630</v>
      </c>
      <c r="B1259">
        <v>8.8270000000000004E-4</v>
      </c>
    </row>
    <row r="1260" spans="1:2" x14ac:dyDescent="0.25">
      <c r="A1260" s="6">
        <v>37631</v>
      </c>
      <c r="B1260">
        <v>8.8270000000000004E-4</v>
      </c>
    </row>
    <row r="1261" spans="1:2" x14ac:dyDescent="0.25">
      <c r="A1261" s="6">
        <v>37634</v>
      </c>
      <c r="B1261">
        <v>8.8270000000000004E-4</v>
      </c>
    </row>
    <row r="1262" spans="1:2" x14ac:dyDescent="0.25">
      <c r="A1262" s="6">
        <v>37635</v>
      </c>
      <c r="B1262">
        <v>8.8270000000000004E-4</v>
      </c>
    </row>
    <row r="1263" spans="1:2" x14ac:dyDescent="0.25">
      <c r="A1263" s="6">
        <v>37636</v>
      </c>
      <c r="B1263">
        <v>8.8270000000000004E-4</v>
      </c>
    </row>
    <row r="1264" spans="1:2" x14ac:dyDescent="0.25">
      <c r="A1264" s="6">
        <v>37637</v>
      </c>
      <c r="B1264">
        <v>8.8270000000000004E-4</v>
      </c>
    </row>
    <row r="1265" spans="1:2" x14ac:dyDescent="0.25">
      <c r="A1265" s="6">
        <v>37638</v>
      </c>
      <c r="B1265">
        <v>8.8270000000000004E-4</v>
      </c>
    </row>
    <row r="1266" spans="1:2" x14ac:dyDescent="0.25">
      <c r="A1266" s="6">
        <v>37641</v>
      </c>
      <c r="B1266">
        <v>8.8270000000000004E-4</v>
      </c>
    </row>
    <row r="1267" spans="1:2" x14ac:dyDescent="0.25">
      <c r="A1267" s="6">
        <v>37642</v>
      </c>
      <c r="B1267">
        <v>8.8270000000000004E-4</v>
      </c>
    </row>
    <row r="1268" spans="1:2" x14ac:dyDescent="0.25">
      <c r="A1268" s="6">
        <v>37643</v>
      </c>
      <c r="B1268">
        <v>8.8270000000000004E-4</v>
      </c>
    </row>
    <row r="1269" spans="1:2" x14ac:dyDescent="0.25">
      <c r="A1269" s="6">
        <v>37644</v>
      </c>
      <c r="B1269">
        <v>8.9857000000000001E-4</v>
      </c>
    </row>
    <row r="1270" spans="1:2" x14ac:dyDescent="0.25">
      <c r="A1270" s="6">
        <v>37645</v>
      </c>
      <c r="B1270">
        <v>8.9857000000000001E-4</v>
      </c>
    </row>
    <row r="1271" spans="1:2" x14ac:dyDescent="0.25">
      <c r="A1271" s="6">
        <v>37648</v>
      </c>
      <c r="B1271">
        <v>8.9857000000000001E-4</v>
      </c>
    </row>
    <row r="1272" spans="1:2" x14ac:dyDescent="0.25">
      <c r="A1272" s="6">
        <v>37649</v>
      </c>
      <c r="B1272">
        <v>8.9857000000000001E-4</v>
      </c>
    </row>
    <row r="1273" spans="1:2" x14ac:dyDescent="0.25">
      <c r="A1273" s="6">
        <v>37650</v>
      </c>
      <c r="B1273">
        <v>8.9857000000000001E-4</v>
      </c>
    </row>
    <row r="1274" spans="1:2" x14ac:dyDescent="0.25">
      <c r="A1274" s="6">
        <v>37651</v>
      </c>
      <c r="B1274">
        <v>8.9826000000000001E-4</v>
      </c>
    </row>
    <row r="1275" spans="1:2" x14ac:dyDescent="0.25">
      <c r="A1275" s="6">
        <v>37652</v>
      </c>
      <c r="B1275">
        <v>8.9793999999999996E-4</v>
      </c>
    </row>
    <row r="1276" spans="1:2" x14ac:dyDescent="0.25">
      <c r="A1276" s="6">
        <v>37655</v>
      </c>
      <c r="B1276">
        <v>8.9793999999999996E-4</v>
      </c>
    </row>
    <row r="1277" spans="1:2" x14ac:dyDescent="0.25">
      <c r="A1277" s="6">
        <v>37656</v>
      </c>
      <c r="B1277">
        <v>8.9857000000000001E-4</v>
      </c>
    </row>
    <row r="1278" spans="1:2" x14ac:dyDescent="0.25">
      <c r="A1278" s="6">
        <v>37657</v>
      </c>
      <c r="B1278">
        <v>8.9826000000000001E-4</v>
      </c>
    </row>
    <row r="1279" spans="1:2" x14ac:dyDescent="0.25">
      <c r="A1279" s="6">
        <v>37658</v>
      </c>
      <c r="B1279">
        <v>8.9793999999999996E-4</v>
      </c>
    </row>
    <row r="1280" spans="1:2" x14ac:dyDescent="0.25">
      <c r="A1280" s="6">
        <v>37659</v>
      </c>
      <c r="B1280">
        <v>8.9761999999999991E-4</v>
      </c>
    </row>
    <row r="1281" spans="1:2" x14ac:dyDescent="0.25">
      <c r="A1281" s="6">
        <v>37662</v>
      </c>
      <c r="B1281">
        <v>8.9730000000000007E-4</v>
      </c>
    </row>
    <row r="1282" spans="1:2" x14ac:dyDescent="0.25">
      <c r="A1282" s="6">
        <v>37663</v>
      </c>
      <c r="B1282">
        <v>8.9698999999999996E-4</v>
      </c>
    </row>
    <row r="1283" spans="1:2" x14ac:dyDescent="0.25">
      <c r="A1283" s="6">
        <v>37664</v>
      </c>
      <c r="B1283">
        <v>8.9667000000000002E-4</v>
      </c>
    </row>
    <row r="1284" spans="1:2" x14ac:dyDescent="0.25">
      <c r="A1284" s="6">
        <v>37665</v>
      </c>
      <c r="B1284">
        <v>8.9604000000000007E-4</v>
      </c>
    </row>
    <row r="1285" spans="1:2" x14ac:dyDescent="0.25">
      <c r="A1285" s="6">
        <v>37666</v>
      </c>
      <c r="B1285">
        <v>8.9635000000000008E-4</v>
      </c>
    </row>
    <row r="1286" spans="1:2" x14ac:dyDescent="0.25">
      <c r="A1286" s="6">
        <v>37669</v>
      </c>
      <c r="B1286">
        <v>8.9604000000000007E-4</v>
      </c>
    </row>
    <row r="1287" spans="1:2" x14ac:dyDescent="0.25">
      <c r="A1287" s="6">
        <v>37670</v>
      </c>
      <c r="B1287">
        <v>8.9509000000000008E-4</v>
      </c>
    </row>
    <row r="1288" spans="1:2" x14ac:dyDescent="0.25">
      <c r="A1288" s="6">
        <v>37671</v>
      </c>
      <c r="B1288">
        <v>8.9539999999999997E-4</v>
      </c>
    </row>
    <row r="1289" spans="1:2" x14ac:dyDescent="0.25">
      <c r="A1289" s="6">
        <v>37672</v>
      </c>
      <c r="B1289">
        <v>9.2571999999999999E-4</v>
      </c>
    </row>
    <row r="1290" spans="1:2" x14ac:dyDescent="0.25">
      <c r="A1290" s="6">
        <v>37673</v>
      </c>
      <c r="B1290">
        <v>9.2665999999999994E-4</v>
      </c>
    </row>
    <row r="1291" spans="1:2" x14ac:dyDescent="0.25">
      <c r="A1291" s="6">
        <v>37676</v>
      </c>
      <c r="B1291">
        <v>9.2760999999999994E-4</v>
      </c>
    </row>
    <row r="1292" spans="1:2" x14ac:dyDescent="0.25">
      <c r="A1292" s="6">
        <v>37677</v>
      </c>
      <c r="B1292">
        <v>9.272900000000001E-4</v>
      </c>
    </row>
    <row r="1293" spans="1:2" x14ac:dyDescent="0.25">
      <c r="A1293" s="6">
        <v>37678</v>
      </c>
      <c r="B1293">
        <v>9.2665999999999994E-4</v>
      </c>
    </row>
    <row r="1294" spans="1:2" x14ac:dyDescent="0.25">
      <c r="A1294" s="6">
        <v>37679</v>
      </c>
      <c r="B1294">
        <v>9.2603E-4</v>
      </c>
    </row>
    <row r="1295" spans="1:2" x14ac:dyDescent="0.25">
      <c r="A1295" s="6">
        <v>37680</v>
      </c>
      <c r="B1295">
        <v>9.2634999999999994E-4</v>
      </c>
    </row>
    <row r="1296" spans="1:2" x14ac:dyDescent="0.25">
      <c r="A1296" s="6">
        <v>37685</v>
      </c>
      <c r="B1296">
        <v>9.2665999999999994E-4</v>
      </c>
    </row>
    <row r="1297" spans="1:2" x14ac:dyDescent="0.25">
      <c r="A1297" s="6">
        <v>37686</v>
      </c>
      <c r="B1297">
        <v>9.2634999999999994E-4</v>
      </c>
    </row>
    <row r="1298" spans="1:2" x14ac:dyDescent="0.25">
      <c r="A1298" s="6">
        <v>37687</v>
      </c>
      <c r="B1298">
        <v>9.2665999999999994E-4</v>
      </c>
    </row>
    <row r="1299" spans="1:2" x14ac:dyDescent="0.25">
      <c r="A1299" s="6">
        <v>37690</v>
      </c>
      <c r="B1299">
        <v>9.2665999999999994E-4</v>
      </c>
    </row>
    <row r="1300" spans="1:2" x14ac:dyDescent="0.25">
      <c r="A1300" s="6">
        <v>37691</v>
      </c>
      <c r="B1300">
        <v>9.2697999999999999E-4</v>
      </c>
    </row>
    <row r="1301" spans="1:2" x14ac:dyDescent="0.25">
      <c r="A1301" s="6">
        <v>37692</v>
      </c>
      <c r="B1301">
        <v>9.2697999999999999E-4</v>
      </c>
    </row>
    <row r="1302" spans="1:2" x14ac:dyDescent="0.25">
      <c r="A1302" s="6">
        <v>37693</v>
      </c>
      <c r="B1302">
        <v>9.272900000000001E-4</v>
      </c>
    </row>
    <row r="1303" spans="1:2" x14ac:dyDescent="0.25">
      <c r="A1303" s="6">
        <v>37694</v>
      </c>
      <c r="B1303">
        <v>9.272900000000001E-4</v>
      </c>
    </row>
    <row r="1304" spans="1:2" x14ac:dyDescent="0.25">
      <c r="A1304" s="6">
        <v>37697</v>
      </c>
      <c r="B1304">
        <v>9.2760999999999994E-4</v>
      </c>
    </row>
    <row r="1305" spans="1:2" x14ac:dyDescent="0.25">
      <c r="A1305" s="6">
        <v>37698</v>
      </c>
      <c r="B1305">
        <v>9.2760999999999994E-4</v>
      </c>
    </row>
    <row r="1306" spans="1:2" x14ac:dyDescent="0.25">
      <c r="A1306" s="6">
        <v>37699</v>
      </c>
      <c r="B1306">
        <v>9.2823000000000005E-4</v>
      </c>
    </row>
    <row r="1307" spans="1:2" x14ac:dyDescent="0.25">
      <c r="A1307" s="6">
        <v>37700</v>
      </c>
      <c r="B1307">
        <v>9.2823000000000005E-4</v>
      </c>
    </row>
    <row r="1308" spans="1:2" x14ac:dyDescent="0.25">
      <c r="A1308" s="6">
        <v>37701</v>
      </c>
      <c r="B1308">
        <v>9.2854999999999988E-4</v>
      </c>
    </row>
    <row r="1309" spans="1:2" x14ac:dyDescent="0.25">
      <c r="A1309" s="6">
        <v>37704</v>
      </c>
      <c r="B1309">
        <v>9.2792000000000005E-4</v>
      </c>
    </row>
    <row r="1310" spans="1:2" x14ac:dyDescent="0.25">
      <c r="A1310" s="6">
        <v>37705</v>
      </c>
      <c r="B1310">
        <v>9.2792000000000005E-4</v>
      </c>
    </row>
    <row r="1311" spans="1:2" x14ac:dyDescent="0.25">
      <c r="A1311" s="6">
        <v>37706</v>
      </c>
      <c r="B1311">
        <v>9.2823000000000005E-4</v>
      </c>
    </row>
    <row r="1312" spans="1:2" x14ac:dyDescent="0.25">
      <c r="A1312" s="6">
        <v>37707</v>
      </c>
      <c r="B1312">
        <v>9.2792000000000005E-4</v>
      </c>
    </row>
    <row r="1313" spans="1:2" x14ac:dyDescent="0.25">
      <c r="A1313" s="6">
        <v>37708</v>
      </c>
      <c r="B1313">
        <v>9.2760999999999994E-4</v>
      </c>
    </row>
    <row r="1314" spans="1:2" x14ac:dyDescent="0.25">
      <c r="A1314" s="6">
        <v>37711</v>
      </c>
      <c r="B1314">
        <v>9.2760999999999994E-4</v>
      </c>
    </row>
    <row r="1315" spans="1:2" x14ac:dyDescent="0.25">
      <c r="A1315" s="6">
        <v>37712</v>
      </c>
      <c r="B1315">
        <v>9.2760999999999994E-4</v>
      </c>
    </row>
    <row r="1316" spans="1:2" x14ac:dyDescent="0.25">
      <c r="A1316" s="6">
        <v>37713</v>
      </c>
      <c r="B1316">
        <v>9.272900000000001E-4</v>
      </c>
    </row>
    <row r="1317" spans="1:2" x14ac:dyDescent="0.25">
      <c r="A1317" s="6">
        <v>37714</v>
      </c>
      <c r="B1317">
        <v>9.272900000000001E-4</v>
      </c>
    </row>
    <row r="1318" spans="1:2" x14ac:dyDescent="0.25">
      <c r="A1318" s="6">
        <v>37715</v>
      </c>
      <c r="B1318">
        <v>9.2760999999999994E-4</v>
      </c>
    </row>
    <row r="1319" spans="1:2" x14ac:dyDescent="0.25">
      <c r="A1319" s="6">
        <v>37718</v>
      </c>
      <c r="B1319">
        <v>9.2760999999999994E-4</v>
      </c>
    </row>
    <row r="1320" spans="1:2" x14ac:dyDescent="0.25">
      <c r="A1320" s="6">
        <v>37719</v>
      </c>
      <c r="B1320">
        <v>9.2760999999999994E-4</v>
      </c>
    </row>
    <row r="1321" spans="1:2" x14ac:dyDescent="0.25">
      <c r="A1321" s="6">
        <v>37720</v>
      </c>
      <c r="B1321">
        <v>9.2760999999999994E-4</v>
      </c>
    </row>
    <row r="1322" spans="1:2" x14ac:dyDescent="0.25">
      <c r="A1322" s="6">
        <v>37721</v>
      </c>
      <c r="B1322">
        <v>9.2760999999999994E-4</v>
      </c>
    </row>
    <row r="1323" spans="1:2" x14ac:dyDescent="0.25">
      <c r="A1323" s="6">
        <v>37722</v>
      </c>
      <c r="B1323">
        <v>9.2760999999999994E-4</v>
      </c>
    </row>
    <row r="1324" spans="1:2" x14ac:dyDescent="0.25">
      <c r="A1324" s="6">
        <v>37725</v>
      </c>
      <c r="B1324">
        <v>9.2760999999999994E-4</v>
      </c>
    </row>
    <row r="1325" spans="1:2" x14ac:dyDescent="0.25">
      <c r="A1325" s="6">
        <v>37726</v>
      </c>
      <c r="B1325">
        <v>9.2760999999999994E-4</v>
      </c>
    </row>
    <row r="1326" spans="1:2" x14ac:dyDescent="0.25">
      <c r="A1326" s="6">
        <v>37727</v>
      </c>
      <c r="B1326">
        <v>9.2760999999999994E-4</v>
      </c>
    </row>
    <row r="1327" spans="1:2" x14ac:dyDescent="0.25">
      <c r="A1327" s="6">
        <v>37728</v>
      </c>
      <c r="B1327">
        <v>9.2760999999999994E-4</v>
      </c>
    </row>
    <row r="1328" spans="1:2" x14ac:dyDescent="0.25">
      <c r="A1328" s="6">
        <v>37733</v>
      </c>
      <c r="B1328">
        <v>9.2760999999999994E-4</v>
      </c>
    </row>
    <row r="1329" spans="1:2" x14ac:dyDescent="0.25">
      <c r="A1329" s="6">
        <v>37734</v>
      </c>
      <c r="B1329">
        <v>9.2760999999999994E-4</v>
      </c>
    </row>
    <row r="1330" spans="1:2" x14ac:dyDescent="0.25">
      <c r="A1330" s="6">
        <v>37735</v>
      </c>
      <c r="B1330">
        <v>9.2760999999999994E-4</v>
      </c>
    </row>
    <row r="1331" spans="1:2" x14ac:dyDescent="0.25">
      <c r="A1331" s="6">
        <v>37736</v>
      </c>
      <c r="B1331">
        <v>9.2760999999999994E-4</v>
      </c>
    </row>
    <row r="1332" spans="1:2" x14ac:dyDescent="0.25">
      <c r="A1332" s="6">
        <v>37739</v>
      </c>
      <c r="B1332">
        <v>9.2760999999999994E-4</v>
      </c>
    </row>
    <row r="1333" spans="1:2" x14ac:dyDescent="0.25">
      <c r="A1333" s="6">
        <v>37740</v>
      </c>
      <c r="B1333">
        <v>9.2760999999999994E-4</v>
      </c>
    </row>
    <row r="1334" spans="1:2" x14ac:dyDescent="0.25">
      <c r="A1334" s="6">
        <v>37741</v>
      </c>
      <c r="B1334">
        <v>9.2760999999999994E-4</v>
      </c>
    </row>
    <row r="1335" spans="1:2" x14ac:dyDescent="0.25">
      <c r="A1335" s="6">
        <v>37743</v>
      </c>
      <c r="B1335">
        <v>9.2760999999999994E-4</v>
      </c>
    </row>
    <row r="1336" spans="1:2" x14ac:dyDescent="0.25">
      <c r="A1336" s="6">
        <v>37746</v>
      </c>
      <c r="B1336">
        <v>9.2760999999999994E-4</v>
      </c>
    </row>
    <row r="1337" spans="1:2" x14ac:dyDescent="0.25">
      <c r="A1337" s="6">
        <v>37747</v>
      </c>
      <c r="B1337">
        <v>9.2760999999999994E-4</v>
      </c>
    </row>
    <row r="1338" spans="1:2" x14ac:dyDescent="0.25">
      <c r="A1338" s="6">
        <v>37748</v>
      </c>
      <c r="B1338">
        <v>9.2760999999999994E-4</v>
      </c>
    </row>
    <row r="1339" spans="1:2" x14ac:dyDescent="0.25">
      <c r="A1339" s="6">
        <v>37749</v>
      </c>
      <c r="B1339">
        <v>9.2760999999999994E-4</v>
      </c>
    </row>
    <row r="1340" spans="1:2" x14ac:dyDescent="0.25">
      <c r="A1340" s="6">
        <v>37750</v>
      </c>
      <c r="B1340">
        <v>9.2760999999999994E-4</v>
      </c>
    </row>
    <row r="1341" spans="1:2" x14ac:dyDescent="0.25">
      <c r="A1341" s="6">
        <v>37753</v>
      </c>
      <c r="B1341">
        <v>9.2760999999999994E-4</v>
      </c>
    </row>
    <row r="1342" spans="1:2" x14ac:dyDescent="0.25">
      <c r="A1342" s="6">
        <v>37754</v>
      </c>
      <c r="B1342">
        <v>9.2760999999999994E-4</v>
      </c>
    </row>
    <row r="1343" spans="1:2" x14ac:dyDescent="0.25">
      <c r="A1343" s="6">
        <v>37755</v>
      </c>
      <c r="B1343">
        <v>9.2760999999999994E-4</v>
      </c>
    </row>
    <row r="1344" spans="1:2" x14ac:dyDescent="0.25">
      <c r="A1344" s="6">
        <v>37756</v>
      </c>
      <c r="B1344">
        <v>9.2760999999999994E-4</v>
      </c>
    </row>
    <row r="1345" spans="1:2" x14ac:dyDescent="0.25">
      <c r="A1345" s="6">
        <v>37757</v>
      </c>
      <c r="B1345">
        <v>9.2760999999999994E-4</v>
      </c>
    </row>
    <row r="1346" spans="1:2" x14ac:dyDescent="0.25">
      <c r="A1346" s="6">
        <v>37760</v>
      </c>
      <c r="B1346">
        <v>9.2760999999999994E-4</v>
      </c>
    </row>
    <row r="1347" spans="1:2" x14ac:dyDescent="0.25">
      <c r="A1347" s="6">
        <v>37761</v>
      </c>
      <c r="B1347">
        <v>9.2760999999999994E-4</v>
      </c>
    </row>
    <row r="1348" spans="1:2" x14ac:dyDescent="0.25">
      <c r="A1348" s="6">
        <v>37762</v>
      </c>
      <c r="B1348">
        <v>9.272900000000001E-4</v>
      </c>
    </row>
    <row r="1349" spans="1:2" x14ac:dyDescent="0.25">
      <c r="A1349" s="6">
        <v>37763</v>
      </c>
      <c r="B1349">
        <v>9.272900000000001E-4</v>
      </c>
    </row>
    <row r="1350" spans="1:2" x14ac:dyDescent="0.25">
      <c r="A1350" s="6">
        <v>37764</v>
      </c>
      <c r="B1350">
        <v>9.2697999999999999E-4</v>
      </c>
    </row>
    <row r="1351" spans="1:2" x14ac:dyDescent="0.25">
      <c r="A1351" s="6">
        <v>37767</v>
      </c>
      <c r="B1351">
        <v>9.2665999999999994E-4</v>
      </c>
    </row>
    <row r="1352" spans="1:2" x14ac:dyDescent="0.25">
      <c r="A1352" s="6">
        <v>37768</v>
      </c>
      <c r="B1352">
        <v>9.2634999999999994E-4</v>
      </c>
    </row>
    <row r="1353" spans="1:2" x14ac:dyDescent="0.25">
      <c r="A1353" s="6">
        <v>37769</v>
      </c>
      <c r="B1353">
        <v>9.2634999999999994E-4</v>
      </c>
    </row>
    <row r="1354" spans="1:2" x14ac:dyDescent="0.25">
      <c r="A1354" s="6">
        <v>37770</v>
      </c>
      <c r="B1354">
        <v>9.2603E-4</v>
      </c>
    </row>
    <row r="1355" spans="1:2" x14ac:dyDescent="0.25">
      <c r="A1355" s="6">
        <v>37771</v>
      </c>
      <c r="B1355">
        <v>9.2603E-4</v>
      </c>
    </row>
    <row r="1356" spans="1:2" x14ac:dyDescent="0.25">
      <c r="A1356" s="6">
        <v>37774</v>
      </c>
      <c r="B1356">
        <v>9.2571999999999999E-4</v>
      </c>
    </row>
    <row r="1357" spans="1:2" x14ac:dyDescent="0.25">
      <c r="A1357" s="6">
        <v>37775</v>
      </c>
      <c r="B1357">
        <v>9.2571999999999999E-4</v>
      </c>
    </row>
    <row r="1358" spans="1:2" x14ac:dyDescent="0.25">
      <c r="A1358" s="6">
        <v>37776</v>
      </c>
      <c r="B1358">
        <v>9.2571999999999999E-4</v>
      </c>
    </row>
    <row r="1359" spans="1:2" x14ac:dyDescent="0.25">
      <c r="A1359" s="6">
        <v>37777</v>
      </c>
      <c r="B1359">
        <v>9.2571999999999999E-4</v>
      </c>
    </row>
    <row r="1360" spans="1:2" x14ac:dyDescent="0.25">
      <c r="A1360" s="6">
        <v>37778</v>
      </c>
      <c r="B1360">
        <v>9.2603E-4</v>
      </c>
    </row>
    <row r="1361" spans="1:2" x14ac:dyDescent="0.25">
      <c r="A1361" s="6">
        <v>37781</v>
      </c>
      <c r="B1361">
        <v>9.2603E-4</v>
      </c>
    </row>
    <row r="1362" spans="1:2" x14ac:dyDescent="0.25">
      <c r="A1362" s="6">
        <v>37782</v>
      </c>
      <c r="B1362">
        <v>9.2603E-4</v>
      </c>
    </row>
    <row r="1363" spans="1:2" x14ac:dyDescent="0.25">
      <c r="A1363" s="6">
        <v>37783</v>
      </c>
      <c r="B1363">
        <v>9.2603E-4</v>
      </c>
    </row>
    <row r="1364" spans="1:2" x14ac:dyDescent="0.25">
      <c r="A1364" s="6">
        <v>37784</v>
      </c>
      <c r="B1364">
        <v>9.2571999999999999E-4</v>
      </c>
    </row>
    <row r="1365" spans="1:2" x14ac:dyDescent="0.25">
      <c r="A1365" s="6">
        <v>37785</v>
      </c>
      <c r="B1365">
        <v>9.2571999999999999E-4</v>
      </c>
    </row>
    <row r="1366" spans="1:2" x14ac:dyDescent="0.25">
      <c r="A1366" s="6">
        <v>37788</v>
      </c>
      <c r="B1366">
        <v>9.2571999999999999E-4</v>
      </c>
    </row>
    <row r="1367" spans="1:2" x14ac:dyDescent="0.25">
      <c r="A1367" s="6">
        <v>37789</v>
      </c>
      <c r="B1367">
        <v>9.2571999999999999E-4</v>
      </c>
    </row>
    <row r="1368" spans="1:2" x14ac:dyDescent="0.25">
      <c r="A1368" s="6">
        <v>37790</v>
      </c>
      <c r="B1368">
        <v>9.2539999999999994E-4</v>
      </c>
    </row>
    <row r="1369" spans="1:2" x14ac:dyDescent="0.25">
      <c r="A1369" s="6">
        <v>37792</v>
      </c>
      <c r="B1369">
        <v>9.0995999999999991E-4</v>
      </c>
    </row>
    <row r="1370" spans="1:2" x14ac:dyDescent="0.25">
      <c r="A1370" s="6">
        <v>37795</v>
      </c>
      <c r="B1370">
        <v>9.0995999999999991E-4</v>
      </c>
    </row>
    <row r="1371" spans="1:2" x14ac:dyDescent="0.25">
      <c r="A1371" s="6">
        <v>37796</v>
      </c>
      <c r="B1371">
        <v>9.0995999999999991E-4</v>
      </c>
    </row>
    <row r="1372" spans="1:2" x14ac:dyDescent="0.25">
      <c r="A1372" s="6">
        <v>37797</v>
      </c>
      <c r="B1372">
        <v>9.0995999999999991E-4</v>
      </c>
    </row>
    <row r="1373" spans="1:2" x14ac:dyDescent="0.25">
      <c r="A1373" s="6">
        <v>37798</v>
      </c>
      <c r="B1373">
        <v>9.0995999999999991E-4</v>
      </c>
    </row>
    <row r="1374" spans="1:2" x14ac:dyDescent="0.25">
      <c r="A1374" s="6">
        <v>37799</v>
      </c>
      <c r="B1374">
        <v>9.0995999999999991E-4</v>
      </c>
    </row>
    <row r="1375" spans="1:2" x14ac:dyDescent="0.25">
      <c r="A1375" s="6">
        <v>37802</v>
      </c>
      <c r="B1375">
        <v>9.0995999999999991E-4</v>
      </c>
    </row>
    <row r="1376" spans="1:2" x14ac:dyDescent="0.25">
      <c r="A1376" s="6">
        <v>37803</v>
      </c>
      <c r="B1376">
        <v>9.0995999999999991E-4</v>
      </c>
    </row>
    <row r="1377" spans="1:2" x14ac:dyDescent="0.25">
      <c r="A1377" s="6">
        <v>37804</v>
      </c>
      <c r="B1377">
        <v>9.0995999999999991E-4</v>
      </c>
    </row>
    <row r="1378" spans="1:2" x14ac:dyDescent="0.25">
      <c r="A1378" s="6">
        <v>37805</v>
      </c>
      <c r="B1378">
        <v>9.0995999999999991E-4</v>
      </c>
    </row>
    <row r="1379" spans="1:2" x14ac:dyDescent="0.25">
      <c r="A1379" s="6">
        <v>37806</v>
      </c>
      <c r="B1379">
        <v>9.0995999999999991E-4</v>
      </c>
    </row>
    <row r="1380" spans="1:2" x14ac:dyDescent="0.25">
      <c r="A1380" s="6">
        <v>37809</v>
      </c>
      <c r="B1380">
        <v>9.0995999999999991E-4</v>
      </c>
    </row>
    <row r="1381" spans="1:2" x14ac:dyDescent="0.25">
      <c r="A1381" s="6">
        <v>37810</v>
      </c>
      <c r="B1381">
        <v>9.0964000000000008E-4</v>
      </c>
    </row>
    <row r="1382" spans="1:2" x14ac:dyDescent="0.25">
      <c r="A1382" s="6">
        <v>37811</v>
      </c>
      <c r="B1382">
        <v>9.0964000000000008E-4</v>
      </c>
    </row>
    <row r="1383" spans="1:2" x14ac:dyDescent="0.25">
      <c r="A1383" s="6">
        <v>37812</v>
      </c>
      <c r="B1383">
        <v>9.0964000000000008E-4</v>
      </c>
    </row>
    <row r="1384" spans="1:2" x14ac:dyDescent="0.25">
      <c r="A1384" s="6">
        <v>37813</v>
      </c>
      <c r="B1384">
        <v>9.0964000000000008E-4</v>
      </c>
    </row>
    <row r="1385" spans="1:2" x14ac:dyDescent="0.25">
      <c r="A1385" s="6">
        <v>37816</v>
      </c>
      <c r="B1385">
        <v>9.0932999999999997E-4</v>
      </c>
    </row>
    <row r="1386" spans="1:2" x14ac:dyDescent="0.25">
      <c r="A1386" s="6">
        <v>37817</v>
      </c>
      <c r="B1386">
        <v>9.0932999999999997E-4</v>
      </c>
    </row>
    <row r="1387" spans="1:2" x14ac:dyDescent="0.25">
      <c r="A1387" s="6">
        <v>37818</v>
      </c>
      <c r="B1387">
        <v>9.0932999999999997E-4</v>
      </c>
    </row>
    <row r="1388" spans="1:2" x14ac:dyDescent="0.25">
      <c r="A1388" s="6">
        <v>37819</v>
      </c>
      <c r="B1388">
        <v>9.0900999999999992E-4</v>
      </c>
    </row>
    <row r="1389" spans="1:2" x14ac:dyDescent="0.25">
      <c r="A1389" s="6">
        <v>37820</v>
      </c>
      <c r="B1389">
        <v>9.0900999999999992E-4</v>
      </c>
    </row>
    <row r="1390" spans="1:2" x14ac:dyDescent="0.25">
      <c r="A1390" s="6">
        <v>37823</v>
      </c>
      <c r="B1390">
        <v>9.0837999999999997E-4</v>
      </c>
    </row>
    <row r="1391" spans="1:2" x14ac:dyDescent="0.25">
      <c r="A1391" s="6">
        <v>37824</v>
      </c>
      <c r="B1391">
        <v>9.0806000000000003E-4</v>
      </c>
    </row>
    <row r="1392" spans="1:2" x14ac:dyDescent="0.25">
      <c r="A1392" s="6">
        <v>37825</v>
      </c>
      <c r="B1392">
        <v>9.0585000000000004E-4</v>
      </c>
    </row>
    <row r="1393" spans="1:2" x14ac:dyDescent="0.25">
      <c r="A1393" s="6">
        <v>37826</v>
      </c>
      <c r="B1393">
        <v>8.6326000000000003E-4</v>
      </c>
    </row>
    <row r="1394" spans="1:2" x14ac:dyDescent="0.25">
      <c r="A1394" s="6">
        <v>37827</v>
      </c>
      <c r="B1394">
        <v>8.6326000000000003E-4</v>
      </c>
    </row>
    <row r="1395" spans="1:2" x14ac:dyDescent="0.25">
      <c r="A1395" s="6">
        <v>37830</v>
      </c>
      <c r="B1395">
        <v>8.6358000000000008E-4</v>
      </c>
    </row>
    <row r="1396" spans="1:2" x14ac:dyDescent="0.25">
      <c r="A1396" s="6">
        <v>37831</v>
      </c>
      <c r="B1396">
        <v>8.6358000000000008E-4</v>
      </c>
    </row>
    <row r="1397" spans="1:2" x14ac:dyDescent="0.25">
      <c r="A1397" s="6">
        <v>37832</v>
      </c>
      <c r="B1397">
        <v>8.6358000000000008E-4</v>
      </c>
    </row>
    <row r="1398" spans="1:2" x14ac:dyDescent="0.25">
      <c r="A1398" s="6">
        <v>37833</v>
      </c>
      <c r="B1398">
        <v>8.6358000000000008E-4</v>
      </c>
    </row>
    <row r="1399" spans="1:2" x14ac:dyDescent="0.25">
      <c r="A1399" s="6">
        <v>37834</v>
      </c>
      <c r="B1399">
        <v>8.6454000000000001E-4</v>
      </c>
    </row>
    <row r="1400" spans="1:2" x14ac:dyDescent="0.25">
      <c r="A1400" s="6">
        <v>37837</v>
      </c>
      <c r="B1400">
        <v>8.6485999999999996E-4</v>
      </c>
    </row>
    <row r="1401" spans="1:2" x14ac:dyDescent="0.25">
      <c r="A1401" s="6">
        <v>37838</v>
      </c>
      <c r="B1401">
        <v>8.6518000000000001E-4</v>
      </c>
    </row>
    <row r="1402" spans="1:2" x14ac:dyDescent="0.25">
      <c r="A1402" s="6">
        <v>37839</v>
      </c>
      <c r="B1402">
        <v>8.6518000000000001E-4</v>
      </c>
    </row>
    <row r="1403" spans="1:2" x14ac:dyDescent="0.25">
      <c r="A1403" s="6">
        <v>37840</v>
      </c>
      <c r="B1403">
        <v>8.6549000000000001E-4</v>
      </c>
    </row>
    <row r="1404" spans="1:2" x14ac:dyDescent="0.25">
      <c r="A1404" s="6">
        <v>37841</v>
      </c>
      <c r="B1404">
        <v>8.6549000000000001E-4</v>
      </c>
    </row>
    <row r="1405" spans="1:2" x14ac:dyDescent="0.25">
      <c r="A1405" s="6">
        <v>37844</v>
      </c>
      <c r="B1405">
        <v>8.6549000000000001E-4</v>
      </c>
    </row>
    <row r="1406" spans="1:2" x14ac:dyDescent="0.25">
      <c r="A1406" s="6">
        <v>37845</v>
      </c>
      <c r="B1406">
        <v>8.6518000000000001E-4</v>
      </c>
    </row>
    <row r="1407" spans="1:2" x14ac:dyDescent="0.25">
      <c r="A1407" s="6">
        <v>37846</v>
      </c>
      <c r="B1407">
        <v>8.6518000000000001E-4</v>
      </c>
    </row>
    <row r="1408" spans="1:2" x14ac:dyDescent="0.25">
      <c r="A1408" s="6">
        <v>37847</v>
      </c>
      <c r="B1408">
        <v>8.6485999999999996E-4</v>
      </c>
    </row>
    <row r="1409" spans="1:2" x14ac:dyDescent="0.25">
      <c r="A1409" s="6">
        <v>37848</v>
      </c>
      <c r="B1409">
        <v>8.6454000000000001E-4</v>
      </c>
    </row>
    <row r="1410" spans="1:2" x14ac:dyDescent="0.25">
      <c r="A1410" s="6">
        <v>37851</v>
      </c>
      <c r="B1410">
        <v>8.6454000000000001E-4</v>
      </c>
    </row>
    <row r="1411" spans="1:2" x14ac:dyDescent="0.25">
      <c r="A1411" s="6">
        <v>37852</v>
      </c>
      <c r="B1411">
        <v>8.6485999999999996E-4</v>
      </c>
    </row>
    <row r="1412" spans="1:2" x14ac:dyDescent="0.25">
      <c r="A1412" s="6">
        <v>37853</v>
      </c>
      <c r="B1412">
        <v>8.6069999999999994E-4</v>
      </c>
    </row>
    <row r="1413" spans="1:2" x14ac:dyDescent="0.25">
      <c r="A1413" s="6">
        <v>37854</v>
      </c>
      <c r="B1413">
        <v>7.8385999999999994E-4</v>
      </c>
    </row>
    <row r="1414" spans="1:2" x14ac:dyDescent="0.25">
      <c r="A1414" s="6">
        <v>37855</v>
      </c>
      <c r="B1414">
        <v>7.8419000000000004E-4</v>
      </c>
    </row>
    <row r="1415" spans="1:2" x14ac:dyDescent="0.25">
      <c r="A1415" s="6">
        <v>37858</v>
      </c>
      <c r="B1415">
        <v>7.8419000000000004E-4</v>
      </c>
    </row>
    <row r="1416" spans="1:2" x14ac:dyDescent="0.25">
      <c r="A1416" s="6">
        <v>37859</v>
      </c>
      <c r="B1416">
        <v>7.8419000000000004E-4</v>
      </c>
    </row>
    <row r="1417" spans="1:2" x14ac:dyDescent="0.25">
      <c r="A1417" s="6">
        <v>37860</v>
      </c>
      <c r="B1417">
        <v>7.8419000000000004E-4</v>
      </c>
    </row>
    <row r="1418" spans="1:2" x14ac:dyDescent="0.25">
      <c r="A1418" s="6">
        <v>37861</v>
      </c>
      <c r="B1418">
        <v>7.8385999999999994E-4</v>
      </c>
    </row>
    <row r="1419" spans="1:2" x14ac:dyDescent="0.25">
      <c r="A1419" s="6">
        <v>37862</v>
      </c>
      <c r="B1419">
        <v>7.8385999999999994E-4</v>
      </c>
    </row>
    <row r="1420" spans="1:2" x14ac:dyDescent="0.25">
      <c r="A1420" s="6">
        <v>37865</v>
      </c>
      <c r="B1420">
        <v>7.8385999999999994E-4</v>
      </c>
    </row>
    <row r="1421" spans="1:2" x14ac:dyDescent="0.25">
      <c r="A1421" s="6">
        <v>37866</v>
      </c>
      <c r="B1421">
        <v>7.8385999999999994E-4</v>
      </c>
    </row>
    <row r="1422" spans="1:2" x14ac:dyDescent="0.25">
      <c r="A1422" s="6">
        <v>37867</v>
      </c>
      <c r="B1422">
        <v>7.8419000000000004E-4</v>
      </c>
    </row>
    <row r="1423" spans="1:2" x14ac:dyDescent="0.25">
      <c r="A1423" s="6">
        <v>37868</v>
      </c>
      <c r="B1423">
        <v>7.8419000000000004E-4</v>
      </c>
    </row>
    <row r="1424" spans="1:2" x14ac:dyDescent="0.25">
      <c r="A1424" s="6">
        <v>37869</v>
      </c>
      <c r="B1424">
        <v>7.8419000000000004E-4</v>
      </c>
    </row>
    <row r="1425" spans="1:2" x14ac:dyDescent="0.25">
      <c r="A1425" s="6">
        <v>37872</v>
      </c>
      <c r="B1425">
        <v>7.8419000000000004E-4</v>
      </c>
    </row>
    <row r="1426" spans="1:2" x14ac:dyDescent="0.25">
      <c r="A1426" s="6">
        <v>37873</v>
      </c>
      <c r="B1426">
        <v>7.8419000000000004E-4</v>
      </c>
    </row>
    <row r="1427" spans="1:2" x14ac:dyDescent="0.25">
      <c r="A1427" s="6">
        <v>37874</v>
      </c>
      <c r="B1427">
        <v>7.8419000000000004E-4</v>
      </c>
    </row>
    <row r="1428" spans="1:2" x14ac:dyDescent="0.25">
      <c r="A1428" s="6">
        <v>37875</v>
      </c>
      <c r="B1428">
        <v>7.8419000000000004E-4</v>
      </c>
    </row>
    <row r="1429" spans="1:2" x14ac:dyDescent="0.25">
      <c r="A1429" s="6">
        <v>37876</v>
      </c>
      <c r="B1429">
        <v>7.8419000000000004E-4</v>
      </c>
    </row>
    <row r="1430" spans="1:2" x14ac:dyDescent="0.25">
      <c r="A1430" s="6">
        <v>37879</v>
      </c>
      <c r="B1430">
        <v>7.8419000000000004E-4</v>
      </c>
    </row>
    <row r="1431" spans="1:2" x14ac:dyDescent="0.25">
      <c r="A1431" s="6">
        <v>37880</v>
      </c>
      <c r="B1431">
        <v>7.8419000000000004E-4</v>
      </c>
    </row>
    <row r="1432" spans="1:2" x14ac:dyDescent="0.25">
      <c r="A1432" s="6">
        <v>37881</v>
      </c>
      <c r="B1432">
        <v>7.8385999999999994E-4</v>
      </c>
    </row>
    <row r="1433" spans="1:2" x14ac:dyDescent="0.25">
      <c r="A1433" s="6">
        <v>37882</v>
      </c>
      <c r="B1433">
        <v>7.1878999999999997E-4</v>
      </c>
    </row>
    <row r="1434" spans="1:2" x14ac:dyDescent="0.25">
      <c r="A1434" s="6">
        <v>37883</v>
      </c>
      <c r="B1434">
        <v>7.1878999999999997E-4</v>
      </c>
    </row>
    <row r="1435" spans="1:2" x14ac:dyDescent="0.25">
      <c r="A1435" s="6">
        <v>37886</v>
      </c>
      <c r="B1435">
        <v>7.1878999999999997E-4</v>
      </c>
    </row>
    <row r="1436" spans="1:2" x14ac:dyDescent="0.25">
      <c r="A1436" s="6">
        <v>37887</v>
      </c>
      <c r="B1436">
        <v>7.1878999999999997E-4</v>
      </c>
    </row>
    <row r="1437" spans="1:2" x14ac:dyDescent="0.25">
      <c r="A1437" s="6">
        <v>37888</v>
      </c>
      <c r="B1437">
        <v>7.1878999999999997E-4</v>
      </c>
    </row>
    <row r="1438" spans="1:2" x14ac:dyDescent="0.25">
      <c r="A1438" s="6">
        <v>37889</v>
      </c>
      <c r="B1438">
        <v>7.1878999999999997E-4</v>
      </c>
    </row>
    <row r="1439" spans="1:2" x14ac:dyDescent="0.25">
      <c r="A1439" s="6">
        <v>37890</v>
      </c>
      <c r="B1439">
        <v>7.1878999999999997E-4</v>
      </c>
    </row>
    <row r="1440" spans="1:2" x14ac:dyDescent="0.25">
      <c r="A1440" s="6">
        <v>37893</v>
      </c>
      <c r="B1440">
        <v>7.1845999999999998E-4</v>
      </c>
    </row>
    <row r="1441" spans="1:2" x14ac:dyDescent="0.25">
      <c r="A1441" s="6">
        <v>37894</v>
      </c>
      <c r="B1441">
        <v>7.1845999999999998E-4</v>
      </c>
    </row>
    <row r="1442" spans="1:2" x14ac:dyDescent="0.25">
      <c r="A1442" s="6">
        <v>37895</v>
      </c>
      <c r="B1442">
        <v>7.1812999999999998E-4</v>
      </c>
    </row>
    <row r="1443" spans="1:2" x14ac:dyDescent="0.25">
      <c r="A1443" s="6">
        <v>37896</v>
      </c>
      <c r="B1443">
        <v>7.1812999999999998E-4</v>
      </c>
    </row>
    <row r="1444" spans="1:2" x14ac:dyDescent="0.25">
      <c r="A1444" s="6">
        <v>37897</v>
      </c>
      <c r="B1444">
        <v>7.1845999999999998E-4</v>
      </c>
    </row>
    <row r="1445" spans="1:2" x14ac:dyDescent="0.25">
      <c r="A1445" s="6">
        <v>37900</v>
      </c>
      <c r="B1445">
        <v>7.1845999999999998E-4</v>
      </c>
    </row>
    <row r="1446" spans="1:2" x14ac:dyDescent="0.25">
      <c r="A1446" s="6">
        <v>37901</v>
      </c>
      <c r="B1446">
        <v>7.1845999999999998E-4</v>
      </c>
    </row>
    <row r="1447" spans="1:2" x14ac:dyDescent="0.25">
      <c r="A1447" s="6">
        <v>37902</v>
      </c>
      <c r="B1447">
        <v>7.1845999999999998E-4</v>
      </c>
    </row>
    <row r="1448" spans="1:2" x14ac:dyDescent="0.25">
      <c r="A1448" s="6">
        <v>37903</v>
      </c>
      <c r="B1448">
        <v>7.1845999999999998E-4</v>
      </c>
    </row>
    <row r="1449" spans="1:2" x14ac:dyDescent="0.25">
      <c r="A1449" s="6">
        <v>37904</v>
      </c>
      <c r="B1449">
        <v>7.1845999999999998E-4</v>
      </c>
    </row>
    <row r="1450" spans="1:2" x14ac:dyDescent="0.25">
      <c r="A1450" s="6">
        <v>37907</v>
      </c>
      <c r="B1450">
        <v>7.1845999999999998E-4</v>
      </c>
    </row>
    <row r="1451" spans="1:2" x14ac:dyDescent="0.25">
      <c r="A1451" s="6">
        <v>37908</v>
      </c>
      <c r="B1451">
        <v>7.1845999999999998E-4</v>
      </c>
    </row>
    <row r="1452" spans="1:2" x14ac:dyDescent="0.25">
      <c r="A1452" s="6">
        <v>37909</v>
      </c>
      <c r="B1452">
        <v>7.1845999999999998E-4</v>
      </c>
    </row>
    <row r="1453" spans="1:2" x14ac:dyDescent="0.25">
      <c r="A1453" s="6">
        <v>37910</v>
      </c>
      <c r="B1453">
        <v>7.1845999999999998E-4</v>
      </c>
    </row>
    <row r="1454" spans="1:2" x14ac:dyDescent="0.25">
      <c r="A1454" s="6">
        <v>37911</v>
      </c>
      <c r="B1454">
        <v>7.1845999999999998E-4</v>
      </c>
    </row>
    <row r="1455" spans="1:2" x14ac:dyDescent="0.25">
      <c r="A1455" s="6">
        <v>37914</v>
      </c>
      <c r="B1455">
        <v>7.1845999999999998E-4</v>
      </c>
    </row>
    <row r="1456" spans="1:2" x14ac:dyDescent="0.25">
      <c r="A1456" s="6">
        <v>37915</v>
      </c>
      <c r="B1456">
        <v>7.1845999999999998E-4</v>
      </c>
    </row>
    <row r="1457" spans="1:2" x14ac:dyDescent="0.25">
      <c r="A1457" s="6">
        <v>37916</v>
      </c>
      <c r="B1457">
        <v>7.1812999999999998E-4</v>
      </c>
    </row>
    <row r="1458" spans="1:2" x14ac:dyDescent="0.25">
      <c r="A1458" s="6">
        <v>37917</v>
      </c>
      <c r="B1458">
        <v>6.8552000000000001E-4</v>
      </c>
    </row>
    <row r="1459" spans="1:2" x14ac:dyDescent="0.25">
      <c r="A1459" s="6">
        <v>37918</v>
      </c>
      <c r="B1459">
        <v>6.8552000000000001E-4</v>
      </c>
    </row>
    <row r="1460" spans="1:2" x14ac:dyDescent="0.25">
      <c r="A1460" s="6">
        <v>37921</v>
      </c>
      <c r="B1460">
        <v>6.8552000000000001E-4</v>
      </c>
    </row>
    <row r="1461" spans="1:2" x14ac:dyDescent="0.25">
      <c r="A1461" s="6">
        <v>37922</v>
      </c>
      <c r="B1461">
        <v>6.8552000000000001E-4</v>
      </c>
    </row>
    <row r="1462" spans="1:2" x14ac:dyDescent="0.25">
      <c r="A1462" s="6">
        <v>37923</v>
      </c>
      <c r="B1462">
        <v>6.8552000000000001E-4</v>
      </c>
    </row>
    <row r="1463" spans="1:2" x14ac:dyDescent="0.25">
      <c r="A1463" s="6">
        <v>37924</v>
      </c>
      <c r="B1463">
        <v>6.8552000000000001E-4</v>
      </c>
    </row>
    <row r="1464" spans="1:2" x14ac:dyDescent="0.25">
      <c r="A1464" s="6">
        <v>37925</v>
      </c>
      <c r="B1464">
        <v>6.8552000000000001E-4</v>
      </c>
    </row>
    <row r="1465" spans="1:2" x14ac:dyDescent="0.25">
      <c r="A1465" s="6">
        <v>37928</v>
      </c>
      <c r="B1465">
        <v>6.8552000000000001E-4</v>
      </c>
    </row>
    <row r="1466" spans="1:2" x14ac:dyDescent="0.25">
      <c r="A1466" s="6">
        <v>37929</v>
      </c>
      <c r="B1466">
        <v>6.8552000000000001E-4</v>
      </c>
    </row>
    <row r="1467" spans="1:2" x14ac:dyDescent="0.25">
      <c r="A1467" s="6">
        <v>37930</v>
      </c>
      <c r="B1467">
        <v>6.8552000000000001E-4</v>
      </c>
    </row>
    <row r="1468" spans="1:2" x14ac:dyDescent="0.25">
      <c r="A1468" s="6">
        <v>37931</v>
      </c>
      <c r="B1468">
        <v>6.8552000000000001E-4</v>
      </c>
    </row>
    <row r="1469" spans="1:2" x14ac:dyDescent="0.25">
      <c r="A1469" s="6">
        <v>37932</v>
      </c>
      <c r="B1469">
        <v>6.8552000000000001E-4</v>
      </c>
    </row>
    <row r="1470" spans="1:2" x14ac:dyDescent="0.25">
      <c r="A1470" s="6">
        <v>37935</v>
      </c>
      <c r="B1470">
        <v>6.8552000000000001E-4</v>
      </c>
    </row>
    <row r="1471" spans="1:2" x14ac:dyDescent="0.25">
      <c r="A1471" s="6">
        <v>37936</v>
      </c>
      <c r="B1471">
        <v>6.8552000000000001E-4</v>
      </c>
    </row>
    <row r="1472" spans="1:2" x14ac:dyDescent="0.25">
      <c r="A1472" s="6">
        <v>37937</v>
      </c>
      <c r="B1472">
        <v>6.8552000000000001E-4</v>
      </c>
    </row>
    <row r="1473" spans="1:2" x14ac:dyDescent="0.25">
      <c r="A1473" s="6">
        <v>37938</v>
      </c>
      <c r="B1473">
        <v>6.8519000000000002E-4</v>
      </c>
    </row>
    <row r="1474" spans="1:2" x14ac:dyDescent="0.25">
      <c r="A1474" s="6">
        <v>37939</v>
      </c>
      <c r="B1474">
        <v>6.8519000000000002E-4</v>
      </c>
    </row>
    <row r="1475" spans="1:2" x14ac:dyDescent="0.25">
      <c r="A1475" s="6">
        <v>37942</v>
      </c>
      <c r="B1475">
        <v>6.8519000000000002E-4</v>
      </c>
    </row>
    <row r="1476" spans="1:2" x14ac:dyDescent="0.25">
      <c r="A1476" s="6">
        <v>37943</v>
      </c>
      <c r="B1476">
        <v>6.8451999999999999E-4</v>
      </c>
    </row>
    <row r="1477" spans="1:2" x14ac:dyDescent="0.25">
      <c r="A1477" s="6">
        <v>37944</v>
      </c>
      <c r="B1477">
        <v>6.8418000000000005E-4</v>
      </c>
    </row>
    <row r="1478" spans="1:2" x14ac:dyDescent="0.25">
      <c r="A1478" s="6">
        <v>37945</v>
      </c>
      <c r="B1478">
        <v>6.3475000000000001E-4</v>
      </c>
    </row>
    <row r="1479" spans="1:2" x14ac:dyDescent="0.25">
      <c r="A1479" s="6">
        <v>37946</v>
      </c>
      <c r="B1479">
        <v>6.3475000000000001E-4</v>
      </c>
    </row>
    <row r="1480" spans="1:2" x14ac:dyDescent="0.25">
      <c r="A1480" s="6">
        <v>37949</v>
      </c>
      <c r="B1480">
        <v>6.3475000000000001E-4</v>
      </c>
    </row>
    <row r="1481" spans="1:2" x14ac:dyDescent="0.25">
      <c r="A1481" s="6">
        <v>37950</v>
      </c>
      <c r="B1481">
        <v>6.3475000000000001E-4</v>
      </c>
    </row>
    <row r="1482" spans="1:2" x14ac:dyDescent="0.25">
      <c r="A1482" s="6">
        <v>37951</v>
      </c>
      <c r="B1482">
        <v>6.3440999999999997E-4</v>
      </c>
    </row>
    <row r="1483" spans="1:2" x14ac:dyDescent="0.25">
      <c r="A1483" s="6">
        <v>37952</v>
      </c>
      <c r="B1483">
        <v>6.3440999999999997E-4</v>
      </c>
    </row>
    <row r="1484" spans="1:2" x14ac:dyDescent="0.25">
      <c r="A1484" s="6">
        <v>37953</v>
      </c>
      <c r="B1484">
        <v>6.3407000000000003E-4</v>
      </c>
    </row>
    <row r="1485" spans="1:2" x14ac:dyDescent="0.25">
      <c r="A1485" s="6">
        <v>37956</v>
      </c>
      <c r="B1485">
        <v>6.3372999999999999E-4</v>
      </c>
    </row>
    <row r="1486" spans="1:2" x14ac:dyDescent="0.25">
      <c r="A1486" s="6">
        <v>37957</v>
      </c>
      <c r="B1486">
        <v>6.3475000000000001E-4</v>
      </c>
    </row>
    <row r="1487" spans="1:2" x14ac:dyDescent="0.25">
      <c r="A1487" s="6">
        <v>37958</v>
      </c>
      <c r="B1487">
        <v>6.3440999999999997E-4</v>
      </c>
    </row>
    <row r="1488" spans="1:2" x14ac:dyDescent="0.25">
      <c r="A1488" s="6">
        <v>37959</v>
      </c>
      <c r="B1488">
        <v>6.3440999999999997E-4</v>
      </c>
    </row>
    <row r="1489" spans="1:2" x14ac:dyDescent="0.25">
      <c r="A1489" s="6">
        <v>37960</v>
      </c>
      <c r="B1489">
        <v>6.3440999999999997E-4</v>
      </c>
    </row>
    <row r="1490" spans="1:2" x14ac:dyDescent="0.25">
      <c r="A1490" s="6">
        <v>37963</v>
      </c>
      <c r="B1490">
        <v>6.3407000000000003E-4</v>
      </c>
    </row>
    <row r="1491" spans="1:2" x14ac:dyDescent="0.25">
      <c r="A1491" s="6">
        <v>37964</v>
      </c>
      <c r="B1491">
        <v>6.3407000000000003E-4</v>
      </c>
    </row>
    <row r="1492" spans="1:2" x14ac:dyDescent="0.25">
      <c r="A1492" s="6">
        <v>37965</v>
      </c>
      <c r="B1492">
        <v>6.3372999999999999E-4</v>
      </c>
    </row>
    <row r="1493" spans="1:2" x14ac:dyDescent="0.25">
      <c r="A1493" s="6">
        <v>37966</v>
      </c>
      <c r="B1493">
        <v>6.3339000000000006E-4</v>
      </c>
    </row>
    <row r="1494" spans="1:2" x14ac:dyDescent="0.25">
      <c r="A1494" s="6">
        <v>37967</v>
      </c>
      <c r="B1494">
        <v>6.3305000000000002E-4</v>
      </c>
    </row>
    <row r="1495" spans="1:2" x14ac:dyDescent="0.25">
      <c r="A1495" s="6">
        <v>37970</v>
      </c>
      <c r="B1495">
        <v>6.3305000000000002E-4</v>
      </c>
    </row>
    <row r="1496" spans="1:2" x14ac:dyDescent="0.25">
      <c r="A1496" s="6">
        <v>37971</v>
      </c>
      <c r="B1496">
        <v>6.3305000000000002E-4</v>
      </c>
    </row>
    <row r="1497" spans="1:2" x14ac:dyDescent="0.25">
      <c r="A1497" s="6">
        <v>37972</v>
      </c>
      <c r="B1497">
        <v>6.3237999999999999E-4</v>
      </c>
    </row>
    <row r="1498" spans="1:2" x14ac:dyDescent="0.25">
      <c r="A1498" s="6">
        <v>37973</v>
      </c>
      <c r="B1498">
        <v>5.9940000000000004E-4</v>
      </c>
    </row>
    <row r="1499" spans="1:2" x14ac:dyDescent="0.25">
      <c r="A1499" s="6">
        <v>37974</v>
      </c>
      <c r="B1499">
        <v>6.0075999999999999E-4</v>
      </c>
    </row>
    <row r="1500" spans="1:2" x14ac:dyDescent="0.25">
      <c r="A1500" s="6">
        <v>37977</v>
      </c>
      <c r="B1500">
        <v>6.0075999999999999E-4</v>
      </c>
    </row>
    <row r="1501" spans="1:2" x14ac:dyDescent="0.25">
      <c r="A1501" s="6">
        <v>37978</v>
      </c>
      <c r="B1501">
        <v>6.0075999999999999E-4</v>
      </c>
    </row>
    <row r="1502" spans="1:2" x14ac:dyDescent="0.25">
      <c r="A1502" s="6">
        <v>37979</v>
      </c>
      <c r="B1502">
        <v>6.0075999999999999E-4</v>
      </c>
    </row>
    <row r="1503" spans="1:2" x14ac:dyDescent="0.25">
      <c r="A1503" s="6">
        <v>37981</v>
      </c>
      <c r="B1503">
        <v>6.0075999999999999E-4</v>
      </c>
    </row>
    <row r="1504" spans="1:2" x14ac:dyDescent="0.25">
      <c r="A1504" s="6">
        <v>37984</v>
      </c>
      <c r="B1504">
        <v>6.0075999999999999E-4</v>
      </c>
    </row>
    <row r="1505" spans="1:2" x14ac:dyDescent="0.25">
      <c r="A1505" s="6">
        <v>37985</v>
      </c>
      <c r="B1505">
        <v>6.0041999999999995E-4</v>
      </c>
    </row>
    <row r="1506" spans="1:2" x14ac:dyDescent="0.25">
      <c r="A1506" s="6">
        <v>37986</v>
      </c>
      <c r="B1506">
        <v>6.0041999999999995E-4</v>
      </c>
    </row>
    <row r="1507" spans="1:2" x14ac:dyDescent="0.25">
      <c r="A1507" s="6">
        <v>37988</v>
      </c>
      <c r="B1507">
        <v>6.0075999999999999E-4</v>
      </c>
    </row>
    <row r="1508" spans="1:2" x14ac:dyDescent="0.25">
      <c r="A1508" s="6">
        <v>37991</v>
      </c>
      <c r="B1508">
        <v>6.0075999999999999E-4</v>
      </c>
    </row>
    <row r="1509" spans="1:2" x14ac:dyDescent="0.25">
      <c r="A1509" s="6">
        <v>37992</v>
      </c>
      <c r="B1509">
        <v>6.0075999999999999E-4</v>
      </c>
    </row>
    <row r="1510" spans="1:2" x14ac:dyDescent="0.25">
      <c r="A1510" s="6">
        <v>37993</v>
      </c>
      <c r="B1510">
        <v>6.0041999999999995E-4</v>
      </c>
    </row>
    <row r="1511" spans="1:2" x14ac:dyDescent="0.25">
      <c r="A1511" s="6">
        <v>37994</v>
      </c>
      <c r="B1511">
        <v>6.0041999999999995E-4</v>
      </c>
    </row>
    <row r="1512" spans="1:2" x14ac:dyDescent="0.25">
      <c r="A1512" s="6">
        <v>37995</v>
      </c>
      <c r="B1512">
        <v>6.0008000000000001E-4</v>
      </c>
    </row>
    <row r="1513" spans="1:2" x14ac:dyDescent="0.25">
      <c r="A1513" s="6">
        <v>37998</v>
      </c>
      <c r="B1513">
        <v>6.0008000000000001E-4</v>
      </c>
    </row>
    <row r="1514" spans="1:2" x14ac:dyDescent="0.25">
      <c r="A1514" s="6">
        <v>37999</v>
      </c>
      <c r="B1514">
        <v>6.0008000000000001E-4</v>
      </c>
    </row>
    <row r="1515" spans="1:2" x14ac:dyDescent="0.25">
      <c r="A1515" s="6">
        <v>38000</v>
      </c>
      <c r="B1515">
        <v>5.9973999999999997E-4</v>
      </c>
    </row>
    <row r="1516" spans="1:2" x14ac:dyDescent="0.25">
      <c r="A1516" s="6">
        <v>38001</v>
      </c>
      <c r="B1516">
        <v>5.9973999999999997E-4</v>
      </c>
    </row>
    <row r="1517" spans="1:2" x14ac:dyDescent="0.25">
      <c r="A1517" s="6">
        <v>38002</v>
      </c>
      <c r="B1517">
        <v>5.9940000000000004E-4</v>
      </c>
    </row>
    <row r="1518" spans="1:2" x14ac:dyDescent="0.25">
      <c r="A1518" s="6">
        <v>38005</v>
      </c>
      <c r="B1518">
        <v>5.9940000000000004E-4</v>
      </c>
    </row>
    <row r="1519" spans="1:2" x14ac:dyDescent="0.25">
      <c r="A1519" s="6">
        <v>38006</v>
      </c>
      <c r="B1519">
        <v>5.9940000000000004E-4</v>
      </c>
    </row>
    <row r="1520" spans="1:2" x14ac:dyDescent="0.25">
      <c r="A1520" s="6">
        <v>38007</v>
      </c>
      <c r="B1520">
        <v>5.9871000000000002E-4</v>
      </c>
    </row>
    <row r="1521" spans="1:2" x14ac:dyDescent="0.25">
      <c r="A1521" s="6">
        <v>38008</v>
      </c>
      <c r="B1521">
        <v>6.0041999999999995E-4</v>
      </c>
    </row>
    <row r="1522" spans="1:2" x14ac:dyDescent="0.25">
      <c r="A1522" s="6">
        <v>38009</v>
      </c>
      <c r="B1522">
        <v>6.0041999999999995E-4</v>
      </c>
    </row>
    <row r="1523" spans="1:2" x14ac:dyDescent="0.25">
      <c r="A1523" s="6">
        <v>38012</v>
      </c>
      <c r="B1523">
        <v>6.0041999999999995E-4</v>
      </c>
    </row>
    <row r="1524" spans="1:2" x14ac:dyDescent="0.25">
      <c r="A1524" s="6">
        <v>38013</v>
      </c>
      <c r="B1524">
        <v>6.0008000000000001E-4</v>
      </c>
    </row>
    <row r="1525" spans="1:2" x14ac:dyDescent="0.25">
      <c r="A1525" s="6">
        <v>38014</v>
      </c>
      <c r="B1525">
        <v>6.0008000000000001E-4</v>
      </c>
    </row>
    <row r="1526" spans="1:2" x14ac:dyDescent="0.25">
      <c r="A1526" s="6">
        <v>38015</v>
      </c>
      <c r="B1526">
        <v>5.9940000000000004E-4</v>
      </c>
    </row>
    <row r="1527" spans="1:2" x14ac:dyDescent="0.25">
      <c r="A1527" s="6">
        <v>38016</v>
      </c>
      <c r="B1527">
        <v>5.9906E-4</v>
      </c>
    </row>
    <row r="1528" spans="1:2" x14ac:dyDescent="0.25">
      <c r="A1528" s="6">
        <v>38019</v>
      </c>
      <c r="B1528">
        <v>5.9906E-4</v>
      </c>
    </row>
    <row r="1529" spans="1:2" x14ac:dyDescent="0.25">
      <c r="A1529" s="6">
        <v>38020</v>
      </c>
      <c r="B1529">
        <v>5.9906E-4</v>
      </c>
    </row>
    <row r="1530" spans="1:2" x14ac:dyDescent="0.25">
      <c r="A1530" s="6">
        <v>38021</v>
      </c>
      <c r="B1530">
        <v>5.9871000000000002E-4</v>
      </c>
    </row>
    <row r="1531" spans="1:2" x14ac:dyDescent="0.25">
      <c r="A1531" s="6">
        <v>38022</v>
      </c>
      <c r="B1531">
        <v>5.9871000000000002E-4</v>
      </c>
    </row>
    <row r="1532" spans="1:2" x14ac:dyDescent="0.25">
      <c r="A1532" s="6">
        <v>38023</v>
      </c>
      <c r="B1532">
        <v>5.9836999999999998E-4</v>
      </c>
    </row>
    <row r="1533" spans="1:2" x14ac:dyDescent="0.25">
      <c r="A1533" s="6">
        <v>38026</v>
      </c>
      <c r="B1533">
        <v>5.9836999999999998E-4</v>
      </c>
    </row>
    <row r="1534" spans="1:2" x14ac:dyDescent="0.25">
      <c r="A1534" s="6">
        <v>38027</v>
      </c>
      <c r="B1534">
        <v>5.9803000000000005E-4</v>
      </c>
    </row>
    <row r="1535" spans="1:2" x14ac:dyDescent="0.25">
      <c r="A1535" s="6">
        <v>38028</v>
      </c>
      <c r="B1535">
        <v>5.9836999999999998E-4</v>
      </c>
    </row>
    <row r="1536" spans="1:2" x14ac:dyDescent="0.25">
      <c r="A1536" s="6">
        <v>38029</v>
      </c>
      <c r="B1536">
        <v>5.9906E-4</v>
      </c>
    </row>
    <row r="1537" spans="1:2" x14ac:dyDescent="0.25">
      <c r="A1537" s="6">
        <v>38030</v>
      </c>
      <c r="B1537">
        <v>6.0008000000000001E-4</v>
      </c>
    </row>
    <row r="1538" spans="1:2" x14ac:dyDescent="0.25">
      <c r="A1538" s="6">
        <v>38033</v>
      </c>
      <c r="B1538">
        <v>6.0041999999999995E-4</v>
      </c>
    </row>
    <row r="1539" spans="1:2" x14ac:dyDescent="0.25">
      <c r="A1539" s="6">
        <v>38034</v>
      </c>
      <c r="B1539">
        <v>6.0041999999999995E-4</v>
      </c>
    </row>
    <row r="1540" spans="1:2" x14ac:dyDescent="0.25">
      <c r="A1540" s="6">
        <v>38035</v>
      </c>
      <c r="B1540">
        <v>6.0041999999999995E-4</v>
      </c>
    </row>
    <row r="1541" spans="1:2" x14ac:dyDescent="0.25">
      <c r="A1541" s="6">
        <v>38036</v>
      </c>
      <c r="B1541">
        <v>6.0041999999999995E-4</v>
      </c>
    </row>
    <row r="1542" spans="1:2" x14ac:dyDescent="0.25">
      <c r="A1542" s="6">
        <v>38037</v>
      </c>
      <c r="B1542">
        <v>6.0008000000000001E-4</v>
      </c>
    </row>
    <row r="1543" spans="1:2" x14ac:dyDescent="0.25">
      <c r="A1543" s="6">
        <v>38042</v>
      </c>
      <c r="B1543">
        <v>6.0008000000000001E-4</v>
      </c>
    </row>
    <row r="1544" spans="1:2" x14ac:dyDescent="0.25">
      <c r="A1544" s="6">
        <v>38043</v>
      </c>
      <c r="B1544">
        <v>5.9973999999999997E-4</v>
      </c>
    </row>
    <row r="1545" spans="1:2" x14ac:dyDescent="0.25">
      <c r="A1545" s="6">
        <v>38044</v>
      </c>
      <c r="B1545">
        <v>5.9940000000000004E-4</v>
      </c>
    </row>
    <row r="1546" spans="1:2" x14ac:dyDescent="0.25">
      <c r="A1546" s="6">
        <v>38047</v>
      </c>
      <c r="B1546">
        <v>5.9906E-4</v>
      </c>
    </row>
    <row r="1547" spans="1:2" x14ac:dyDescent="0.25">
      <c r="A1547" s="6">
        <v>38048</v>
      </c>
      <c r="B1547">
        <v>5.9906E-4</v>
      </c>
    </row>
    <row r="1548" spans="1:2" x14ac:dyDescent="0.25">
      <c r="A1548" s="6">
        <v>38049</v>
      </c>
      <c r="B1548">
        <v>5.9871000000000002E-4</v>
      </c>
    </row>
    <row r="1549" spans="1:2" x14ac:dyDescent="0.25">
      <c r="A1549" s="6">
        <v>38050</v>
      </c>
      <c r="B1549">
        <v>5.9836999999999998E-4</v>
      </c>
    </row>
    <row r="1550" spans="1:2" x14ac:dyDescent="0.25">
      <c r="A1550" s="6">
        <v>38051</v>
      </c>
      <c r="B1550">
        <v>5.9940000000000004E-4</v>
      </c>
    </row>
    <row r="1551" spans="1:2" x14ac:dyDescent="0.25">
      <c r="A1551" s="6">
        <v>38054</v>
      </c>
      <c r="B1551">
        <v>5.9906E-4</v>
      </c>
    </row>
    <row r="1552" spans="1:2" x14ac:dyDescent="0.25">
      <c r="A1552" s="6">
        <v>38055</v>
      </c>
      <c r="B1552">
        <v>5.9906E-4</v>
      </c>
    </row>
    <row r="1553" spans="1:2" x14ac:dyDescent="0.25">
      <c r="A1553" s="6">
        <v>38056</v>
      </c>
      <c r="B1553">
        <v>5.9871000000000002E-4</v>
      </c>
    </row>
    <row r="1554" spans="1:2" x14ac:dyDescent="0.25">
      <c r="A1554" s="6">
        <v>38057</v>
      </c>
      <c r="B1554">
        <v>5.9836999999999998E-4</v>
      </c>
    </row>
    <row r="1555" spans="1:2" x14ac:dyDescent="0.25">
      <c r="A1555" s="6">
        <v>38058</v>
      </c>
      <c r="B1555">
        <v>5.9803000000000005E-4</v>
      </c>
    </row>
    <row r="1556" spans="1:2" x14ac:dyDescent="0.25">
      <c r="A1556" s="6">
        <v>38061</v>
      </c>
      <c r="B1556">
        <v>5.9769000000000001E-4</v>
      </c>
    </row>
    <row r="1557" spans="1:2" x14ac:dyDescent="0.25">
      <c r="A1557" s="6">
        <v>38062</v>
      </c>
      <c r="B1557">
        <v>5.9735000000000007E-4</v>
      </c>
    </row>
    <row r="1558" spans="1:2" x14ac:dyDescent="0.25">
      <c r="A1558" s="6">
        <v>38063</v>
      </c>
      <c r="B1558">
        <v>5.9700999999999992E-4</v>
      </c>
    </row>
    <row r="1559" spans="1:2" x14ac:dyDescent="0.25">
      <c r="A1559" s="6">
        <v>38064</v>
      </c>
      <c r="B1559">
        <v>5.8982999999999996E-4</v>
      </c>
    </row>
    <row r="1560" spans="1:2" x14ac:dyDescent="0.25">
      <c r="A1560" s="6">
        <v>38065</v>
      </c>
      <c r="B1560">
        <v>5.9084999999999997E-4</v>
      </c>
    </row>
    <row r="1561" spans="1:2" x14ac:dyDescent="0.25">
      <c r="A1561" s="6">
        <v>38068</v>
      </c>
      <c r="B1561">
        <v>5.9221999999999996E-4</v>
      </c>
    </row>
    <row r="1562" spans="1:2" x14ac:dyDescent="0.25">
      <c r="A1562" s="6">
        <v>38069</v>
      </c>
      <c r="B1562">
        <v>5.9325000000000003E-4</v>
      </c>
    </row>
    <row r="1563" spans="1:2" x14ac:dyDescent="0.25">
      <c r="A1563" s="6">
        <v>38070</v>
      </c>
      <c r="B1563">
        <v>5.9290999999999999E-4</v>
      </c>
    </row>
    <row r="1564" spans="1:2" x14ac:dyDescent="0.25">
      <c r="A1564" s="6">
        <v>38071</v>
      </c>
      <c r="B1564">
        <v>5.9256000000000001E-4</v>
      </c>
    </row>
    <row r="1565" spans="1:2" x14ac:dyDescent="0.25">
      <c r="A1565" s="6">
        <v>38072</v>
      </c>
      <c r="B1565">
        <v>5.9290999999999999E-4</v>
      </c>
    </row>
    <row r="1566" spans="1:2" x14ac:dyDescent="0.25">
      <c r="A1566" s="6">
        <v>38075</v>
      </c>
      <c r="B1566">
        <v>5.9221999999999996E-4</v>
      </c>
    </row>
    <row r="1567" spans="1:2" x14ac:dyDescent="0.25">
      <c r="A1567" s="6">
        <v>38076</v>
      </c>
      <c r="B1567">
        <v>5.9153999999999999E-4</v>
      </c>
    </row>
    <row r="1568" spans="1:2" x14ac:dyDescent="0.25">
      <c r="A1568" s="6">
        <v>38077</v>
      </c>
      <c r="B1568">
        <v>5.9290999999999999E-4</v>
      </c>
    </row>
    <row r="1569" spans="1:2" x14ac:dyDescent="0.25">
      <c r="A1569" s="6">
        <v>38078</v>
      </c>
      <c r="B1569">
        <v>5.9256000000000001E-4</v>
      </c>
    </row>
    <row r="1570" spans="1:2" x14ac:dyDescent="0.25">
      <c r="A1570" s="6">
        <v>38079</v>
      </c>
      <c r="B1570">
        <v>5.9290999999999999E-4</v>
      </c>
    </row>
    <row r="1571" spans="1:2" x14ac:dyDescent="0.25">
      <c r="A1571" s="6">
        <v>38082</v>
      </c>
      <c r="B1571">
        <v>5.9290999999999999E-4</v>
      </c>
    </row>
    <row r="1572" spans="1:2" x14ac:dyDescent="0.25">
      <c r="A1572" s="6">
        <v>38083</v>
      </c>
      <c r="B1572">
        <v>5.9256000000000001E-4</v>
      </c>
    </row>
    <row r="1573" spans="1:2" x14ac:dyDescent="0.25">
      <c r="A1573" s="6">
        <v>38084</v>
      </c>
      <c r="B1573">
        <v>5.9256000000000001E-4</v>
      </c>
    </row>
    <row r="1574" spans="1:2" x14ac:dyDescent="0.25">
      <c r="A1574" s="6">
        <v>38085</v>
      </c>
      <c r="B1574">
        <v>5.9221999999999996E-4</v>
      </c>
    </row>
    <row r="1575" spans="1:2" x14ac:dyDescent="0.25">
      <c r="A1575" s="6">
        <v>38089</v>
      </c>
      <c r="B1575">
        <v>5.9221999999999996E-4</v>
      </c>
    </row>
    <row r="1576" spans="1:2" x14ac:dyDescent="0.25">
      <c r="A1576" s="6">
        <v>38090</v>
      </c>
      <c r="B1576">
        <v>5.9187999999999992E-4</v>
      </c>
    </row>
    <row r="1577" spans="1:2" x14ac:dyDescent="0.25">
      <c r="A1577" s="6">
        <v>38091</v>
      </c>
      <c r="B1577">
        <v>5.9119000000000001E-4</v>
      </c>
    </row>
    <row r="1578" spans="1:2" x14ac:dyDescent="0.25">
      <c r="A1578" s="6">
        <v>38092</v>
      </c>
      <c r="B1578">
        <v>5.8434999999999997E-4</v>
      </c>
    </row>
    <row r="1579" spans="1:2" x14ac:dyDescent="0.25">
      <c r="A1579" s="6">
        <v>38093</v>
      </c>
      <c r="B1579">
        <v>5.8434999999999997E-4</v>
      </c>
    </row>
    <row r="1580" spans="1:2" x14ac:dyDescent="0.25">
      <c r="A1580" s="6">
        <v>38096</v>
      </c>
      <c r="B1580">
        <v>5.8502999999999995E-4</v>
      </c>
    </row>
    <row r="1581" spans="1:2" x14ac:dyDescent="0.25">
      <c r="A1581" s="6">
        <v>38097</v>
      </c>
      <c r="B1581">
        <v>5.8502999999999995E-4</v>
      </c>
    </row>
    <row r="1582" spans="1:2" x14ac:dyDescent="0.25">
      <c r="A1582" s="6">
        <v>38099</v>
      </c>
      <c r="B1582">
        <v>5.8434999999999997E-4</v>
      </c>
    </row>
    <row r="1583" spans="1:2" x14ac:dyDescent="0.25">
      <c r="A1583" s="6">
        <v>38100</v>
      </c>
      <c r="B1583">
        <v>5.8399999999999999E-4</v>
      </c>
    </row>
    <row r="1584" spans="1:2" x14ac:dyDescent="0.25">
      <c r="A1584" s="6">
        <v>38103</v>
      </c>
      <c r="B1584">
        <v>5.8366000000000006E-4</v>
      </c>
    </row>
    <row r="1585" spans="1:2" x14ac:dyDescent="0.25">
      <c r="A1585" s="6">
        <v>38104</v>
      </c>
      <c r="B1585">
        <v>5.8332000000000002E-4</v>
      </c>
    </row>
    <row r="1586" spans="1:2" x14ac:dyDescent="0.25">
      <c r="A1586" s="6">
        <v>38105</v>
      </c>
      <c r="B1586">
        <v>5.8297999999999998E-4</v>
      </c>
    </row>
    <row r="1587" spans="1:2" x14ac:dyDescent="0.25">
      <c r="A1587" s="6">
        <v>38106</v>
      </c>
      <c r="B1587">
        <v>5.8229000000000006E-4</v>
      </c>
    </row>
    <row r="1588" spans="1:2" x14ac:dyDescent="0.25">
      <c r="A1588" s="6">
        <v>38107</v>
      </c>
      <c r="B1588">
        <v>5.8229000000000006E-4</v>
      </c>
    </row>
    <row r="1589" spans="1:2" x14ac:dyDescent="0.25">
      <c r="A1589" s="6">
        <v>38110</v>
      </c>
      <c r="B1589">
        <v>5.8194999999999992E-4</v>
      </c>
    </row>
    <row r="1590" spans="1:2" x14ac:dyDescent="0.25">
      <c r="A1590" s="6">
        <v>38111</v>
      </c>
      <c r="B1590">
        <v>5.8194999999999992E-4</v>
      </c>
    </row>
    <row r="1591" spans="1:2" x14ac:dyDescent="0.25">
      <c r="A1591" s="6">
        <v>38112</v>
      </c>
      <c r="B1591">
        <v>5.8160000000000004E-4</v>
      </c>
    </row>
    <row r="1592" spans="1:2" x14ac:dyDescent="0.25">
      <c r="A1592" s="6">
        <v>38113</v>
      </c>
      <c r="B1592">
        <v>5.8126E-4</v>
      </c>
    </row>
    <row r="1593" spans="1:2" x14ac:dyDescent="0.25">
      <c r="A1593" s="6">
        <v>38114</v>
      </c>
      <c r="B1593">
        <v>5.8091999999999996E-4</v>
      </c>
    </row>
    <row r="1594" spans="1:2" x14ac:dyDescent="0.25">
      <c r="A1594" s="6">
        <v>38117</v>
      </c>
      <c r="B1594">
        <v>5.8058000000000003E-4</v>
      </c>
    </row>
    <row r="1595" spans="1:2" x14ac:dyDescent="0.25">
      <c r="A1595" s="6">
        <v>38118</v>
      </c>
      <c r="B1595">
        <v>5.8022999999999994E-4</v>
      </c>
    </row>
    <row r="1596" spans="1:2" x14ac:dyDescent="0.25">
      <c r="A1596" s="6">
        <v>38119</v>
      </c>
      <c r="B1596">
        <v>5.7989000000000001E-4</v>
      </c>
    </row>
    <row r="1597" spans="1:2" x14ac:dyDescent="0.25">
      <c r="A1597" s="6">
        <v>38120</v>
      </c>
      <c r="B1597">
        <v>5.8022999999999994E-4</v>
      </c>
    </row>
    <row r="1598" spans="1:2" x14ac:dyDescent="0.25">
      <c r="A1598" s="6">
        <v>38121</v>
      </c>
      <c r="B1598">
        <v>5.8126E-4</v>
      </c>
    </row>
    <row r="1599" spans="1:2" x14ac:dyDescent="0.25">
      <c r="A1599" s="6">
        <v>38124</v>
      </c>
      <c r="B1599">
        <v>5.8091999999999996E-4</v>
      </c>
    </row>
    <row r="1600" spans="1:2" x14ac:dyDescent="0.25">
      <c r="A1600" s="6">
        <v>38125</v>
      </c>
      <c r="B1600">
        <v>5.8058000000000003E-4</v>
      </c>
    </row>
    <row r="1601" spans="1:2" x14ac:dyDescent="0.25">
      <c r="A1601" s="6">
        <v>38126</v>
      </c>
      <c r="B1601">
        <v>5.7989000000000001E-4</v>
      </c>
    </row>
    <row r="1602" spans="1:2" x14ac:dyDescent="0.25">
      <c r="A1602" s="6">
        <v>38127</v>
      </c>
      <c r="B1602">
        <v>5.8126E-4</v>
      </c>
    </row>
    <row r="1603" spans="1:2" x14ac:dyDescent="0.25">
      <c r="A1603" s="6">
        <v>38128</v>
      </c>
      <c r="B1603">
        <v>5.8263E-4</v>
      </c>
    </row>
    <row r="1604" spans="1:2" x14ac:dyDescent="0.25">
      <c r="A1604" s="6">
        <v>38131</v>
      </c>
      <c r="B1604">
        <v>5.8229000000000006E-4</v>
      </c>
    </row>
    <row r="1605" spans="1:2" x14ac:dyDescent="0.25">
      <c r="A1605" s="6">
        <v>38132</v>
      </c>
      <c r="B1605">
        <v>5.8194999999999992E-4</v>
      </c>
    </row>
    <row r="1606" spans="1:2" x14ac:dyDescent="0.25">
      <c r="A1606" s="6">
        <v>38133</v>
      </c>
      <c r="B1606">
        <v>5.8229000000000006E-4</v>
      </c>
    </row>
    <row r="1607" spans="1:2" x14ac:dyDescent="0.25">
      <c r="A1607" s="6">
        <v>38134</v>
      </c>
      <c r="B1607">
        <v>5.8194999999999992E-4</v>
      </c>
    </row>
    <row r="1608" spans="1:2" x14ac:dyDescent="0.25">
      <c r="A1608" s="6">
        <v>38135</v>
      </c>
      <c r="B1608">
        <v>5.8160000000000004E-4</v>
      </c>
    </row>
    <row r="1609" spans="1:2" x14ac:dyDescent="0.25">
      <c r="A1609" s="6">
        <v>38138</v>
      </c>
      <c r="B1609">
        <v>5.8160000000000004E-4</v>
      </c>
    </row>
    <row r="1610" spans="1:2" x14ac:dyDescent="0.25">
      <c r="A1610" s="6">
        <v>38139</v>
      </c>
      <c r="B1610">
        <v>5.8160000000000004E-4</v>
      </c>
    </row>
    <row r="1611" spans="1:2" x14ac:dyDescent="0.25">
      <c r="A1611" s="6">
        <v>38140</v>
      </c>
      <c r="B1611">
        <v>5.8058000000000003E-4</v>
      </c>
    </row>
    <row r="1612" spans="1:2" x14ac:dyDescent="0.25">
      <c r="A1612" s="6">
        <v>38141</v>
      </c>
      <c r="B1612">
        <v>5.8091999999999996E-4</v>
      </c>
    </row>
    <row r="1613" spans="1:2" x14ac:dyDescent="0.25">
      <c r="A1613" s="6">
        <v>38142</v>
      </c>
      <c r="B1613">
        <v>5.8194999999999992E-4</v>
      </c>
    </row>
    <row r="1614" spans="1:2" x14ac:dyDescent="0.25">
      <c r="A1614" s="6">
        <v>38145</v>
      </c>
      <c r="B1614">
        <v>5.8297999999999998E-4</v>
      </c>
    </row>
    <row r="1615" spans="1:2" x14ac:dyDescent="0.25">
      <c r="A1615" s="6">
        <v>38146</v>
      </c>
      <c r="B1615">
        <v>5.8366000000000006E-4</v>
      </c>
    </row>
    <row r="1616" spans="1:2" x14ac:dyDescent="0.25">
      <c r="A1616" s="6">
        <v>38147</v>
      </c>
      <c r="B1616">
        <v>5.8297999999999998E-4</v>
      </c>
    </row>
    <row r="1617" spans="1:2" x14ac:dyDescent="0.25">
      <c r="A1617" s="6">
        <v>38149</v>
      </c>
      <c r="B1617">
        <v>5.8194999999999992E-4</v>
      </c>
    </row>
    <row r="1618" spans="1:2" x14ac:dyDescent="0.25">
      <c r="A1618" s="6">
        <v>38152</v>
      </c>
      <c r="B1618">
        <v>5.8229000000000006E-4</v>
      </c>
    </row>
    <row r="1619" spans="1:2" x14ac:dyDescent="0.25">
      <c r="A1619" s="6">
        <v>38153</v>
      </c>
      <c r="B1619">
        <v>5.8297999999999998E-4</v>
      </c>
    </row>
    <row r="1620" spans="1:2" x14ac:dyDescent="0.25">
      <c r="A1620" s="6">
        <v>38154</v>
      </c>
      <c r="B1620">
        <v>5.8229000000000006E-4</v>
      </c>
    </row>
    <row r="1621" spans="1:2" x14ac:dyDescent="0.25">
      <c r="A1621" s="6">
        <v>38155</v>
      </c>
      <c r="B1621">
        <v>5.8194999999999992E-4</v>
      </c>
    </row>
    <row r="1622" spans="1:2" x14ac:dyDescent="0.25">
      <c r="A1622" s="6">
        <v>38156</v>
      </c>
      <c r="B1622">
        <v>5.8194999999999992E-4</v>
      </c>
    </row>
    <row r="1623" spans="1:2" x14ac:dyDescent="0.25">
      <c r="A1623" s="6">
        <v>38159</v>
      </c>
      <c r="B1623">
        <v>5.8263E-4</v>
      </c>
    </row>
    <row r="1624" spans="1:2" x14ac:dyDescent="0.25">
      <c r="A1624" s="6">
        <v>38160</v>
      </c>
      <c r="B1624">
        <v>5.8297999999999998E-4</v>
      </c>
    </row>
    <row r="1625" spans="1:2" x14ac:dyDescent="0.25">
      <c r="A1625" s="6">
        <v>38161</v>
      </c>
      <c r="B1625">
        <v>5.8194999999999992E-4</v>
      </c>
    </row>
    <row r="1626" spans="1:2" x14ac:dyDescent="0.25">
      <c r="A1626" s="6">
        <v>38162</v>
      </c>
      <c r="B1626">
        <v>5.8194999999999992E-4</v>
      </c>
    </row>
    <row r="1627" spans="1:2" x14ac:dyDescent="0.25">
      <c r="A1627" s="6">
        <v>38163</v>
      </c>
      <c r="B1627">
        <v>5.8229000000000006E-4</v>
      </c>
    </row>
    <row r="1628" spans="1:2" x14ac:dyDescent="0.25">
      <c r="A1628" s="6">
        <v>38166</v>
      </c>
      <c r="B1628">
        <v>5.8263E-4</v>
      </c>
    </row>
    <row r="1629" spans="1:2" x14ac:dyDescent="0.25">
      <c r="A1629" s="6">
        <v>38167</v>
      </c>
      <c r="B1629">
        <v>5.8263E-4</v>
      </c>
    </row>
    <row r="1630" spans="1:2" x14ac:dyDescent="0.25">
      <c r="A1630" s="6">
        <v>38168</v>
      </c>
      <c r="B1630">
        <v>5.8229000000000006E-4</v>
      </c>
    </row>
    <row r="1631" spans="1:2" x14ac:dyDescent="0.25">
      <c r="A1631" s="6">
        <v>38169</v>
      </c>
      <c r="B1631">
        <v>5.8229000000000006E-4</v>
      </c>
    </row>
    <row r="1632" spans="1:2" x14ac:dyDescent="0.25">
      <c r="A1632" s="6">
        <v>38170</v>
      </c>
      <c r="B1632">
        <v>5.8263E-4</v>
      </c>
    </row>
    <row r="1633" spans="1:2" x14ac:dyDescent="0.25">
      <c r="A1633" s="6">
        <v>38173</v>
      </c>
      <c r="B1633">
        <v>5.8229000000000006E-4</v>
      </c>
    </row>
    <row r="1634" spans="1:2" x14ac:dyDescent="0.25">
      <c r="A1634" s="6">
        <v>38174</v>
      </c>
      <c r="B1634">
        <v>5.8229000000000006E-4</v>
      </c>
    </row>
    <row r="1635" spans="1:2" x14ac:dyDescent="0.25">
      <c r="A1635" s="6">
        <v>38175</v>
      </c>
      <c r="B1635">
        <v>5.8194999999999992E-4</v>
      </c>
    </row>
    <row r="1636" spans="1:2" x14ac:dyDescent="0.25">
      <c r="A1636" s="6">
        <v>38176</v>
      </c>
      <c r="B1636">
        <v>5.8126E-4</v>
      </c>
    </row>
    <row r="1637" spans="1:2" x14ac:dyDescent="0.25">
      <c r="A1637" s="6">
        <v>38177</v>
      </c>
      <c r="B1637">
        <v>5.8126E-4</v>
      </c>
    </row>
    <row r="1638" spans="1:2" x14ac:dyDescent="0.25">
      <c r="A1638" s="6">
        <v>38180</v>
      </c>
      <c r="B1638">
        <v>5.8160000000000004E-4</v>
      </c>
    </row>
    <row r="1639" spans="1:2" x14ac:dyDescent="0.25">
      <c r="A1639" s="6">
        <v>38181</v>
      </c>
      <c r="B1639">
        <v>5.8160000000000004E-4</v>
      </c>
    </row>
    <row r="1640" spans="1:2" x14ac:dyDescent="0.25">
      <c r="A1640" s="6">
        <v>38182</v>
      </c>
      <c r="B1640">
        <v>5.8091999999999996E-4</v>
      </c>
    </row>
    <row r="1641" spans="1:2" x14ac:dyDescent="0.25">
      <c r="A1641" s="6">
        <v>38183</v>
      </c>
      <c r="B1641">
        <v>5.8126E-4</v>
      </c>
    </row>
    <row r="1642" spans="1:2" x14ac:dyDescent="0.25">
      <c r="A1642" s="6">
        <v>38184</v>
      </c>
      <c r="B1642">
        <v>5.8091999999999996E-4</v>
      </c>
    </row>
    <row r="1643" spans="1:2" x14ac:dyDescent="0.25">
      <c r="A1643" s="6">
        <v>38187</v>
      </c>
      <c r="B1643">
        <v>5.8091999999999996E-4</v>
      </c>
    </row>
    <row r="1644" spans="1:2" x14ac:dyDescent="0.25">
      <c r="A1644" s="6">
        <v>38188</v>
      </c>
      <c r="B1644">
        <v>5.8091999999999996E-4</v>
      </c>
    </row>
    <row r="1645" spans="1:2" x14ac:dyDescent="0.25">
      <c r="A1645" s="6">
        <v>38189</v>
      </c>
      <c r="B1645">
        <v>5.8058000000000003E-4</v>
      </c>
    </row>
    <row r="1646" spans="1:2" x14ac:dyDescent="0.25">
      <c r="A1646" s="6">
        <v>38190</v>
      </c>
      <c r="B1646">
        <v>5.8058000000000003E-4</v>
      </c>
    </row>
    <row r="1647" spans="1:2" x14ac:dyDescent="0.25">
      <c r="A1647" s="6">
        <v>38191</v>
      </c>
      <c r="B1647">
        <v>5.8058000000000003E-4</v>
      </c>
    </row>
    <row r="1648" spans="1:2" x14ac:dyDescent="0.25">
      <c r="A1648" s="6">
        <v>38194</v>
      </c>
      <c r="B1648">
        <v>5.8058000000000003E-4</v>
      </c>
    </row>
    <row r="1649" spans="1:2" x14ac:dyDescent="0.25">
      <c r="A1649" s="6">
        <v>38195</v>
      </c>
      <c r="B1649">
        <v>5.8058000000000003E-4</v>
      </c>
    </row>
    <row r="1650" spans="1:2" x14ac:dyDescent="0.25">
      <c r="A1650" s="6">
        <v>38196</v>
      </c>
      <c r="B1650">
        <v>5.8091999999999996E-4</v>
      </c>
    </row>
    <row r="1651" spans="1:2" x14ac:dyDescent="0.25">
      <c r="A1651" s="6">
        <v>38197</v>
      </c>
      <c r="B1651">
        <v>5.8160000000000004E-4</v>
      </c>
    </row>
    <row r="1652" spans="1:2" x14ac:dyDescent="0.25">
      <c r="A1652" s="6">
        <v>38198</v>
      </c>
      <c r="B1652">
        <v>5.8297999999999998E-4</v>
      </c>
    </row>
    <row r="1653" spans="1:2" x14ac:dyDescent="0.25">
      <c r="A1653" s="6">
        <v>38201</v>
      </c>
      <c r="B1653">
        <v>5.8297999999999998E-4</v>
      </c>
    </row>
    <row r="1654" spans="1:2" x14ac:dyDescent="0.25">
      <c r="A1654" s="6">
        <v>38202</v>
      </c>
      <c r="B1654">
        <v>5.8297999999999998E-4</v>
      </c>
    </row>
    <row r="1655" spans="1:2" x14ac:dyDescent="0.25">
      <c r="A1655" s="6">
        <v>38203</v>
      </c>
      <c r="B1655">
        <v>5.8332000000000002E-4</v>
      </c>
    </row>
    <row r="1656" spans="1:2" x14ac:dyDescent="0.25">
      <c r="A1656" s="6">
        <v>38204</v>
      </c>
      <c r="B1656">
        <v>5.8366000000000006E-4</v>
      </c>
    </row>
    <row r="1657" spans="1:2" x14ac:dyDescent="0.25">
      <c r="A1657" s="6">
        <v>38205</v>
      </c>
      <c r="B1657">
        <v>5.8434999999999997E-4</v>
      </c>
    </row>
    <row r="1658" spans="1:2" x14ac:dyDescent="0.25">
      <c r="A1658" s="6">
        <v>38208</v>
      </c>
      <c r="B1658">
        <v>5.8434999999999997E-4</v>
      </c>
    </row>
    <row r="1659" spans="1:2" x14ac:dyDescent="0.25">
      <c r="A1659" s="6">
        <v>38209</v>
      </c>
      <c r="B1659">
        <v>5.8469000000000001E-4</v>
      </c>
    </row>
    <row r="1660" spans="1:2" x14ac:dyDescent="0.25">
      <c r="A1660" s="6">
        <v>38210</v>
      </c>
      <c r="B1660">
        <v>5.8502999999999995E-4</v>
      </c>
    </row>
    <row r="1661" spans="1:2" x14ac:dyDescent="0.25">
      <c r="A1661" s="6">
        <v>38211</v>
      </c>
      <c r="B1661">
        <v>5.8502999999999995E-4</v>
      </c>
    </row>
    <row r="1662" spans="1:2" x14ac:dyDescent="0.25">
      <c r="A1662" s="6">
        <v>38212</v>
      </c>
      <c r="B1662">
        <v>5.8502999999999995E-4</v>
      </c>
    </row>
    <row r="1663" spans="1:2" x14ac:dyDescent="0.25">
      <c r="A1663" s="6">
        <v>38215</v>
      </c>
      <c r="B1663">
        <v>5.8502999999999995E-4</v>
      </c>
    </row>
    <row r="1664" spans="1:2" x14ac:dyDescent="0.25">
      <c r="A1664" s="6">
        <v>38216</v>
      </c>
      <c r="B1664">
        <v>5.8502999999999995E-4</v>
      </c>
    </row>
    <row r="1665" spans="1:2" x14ac:dyDescent="0.25">
      <c r="A1665" s="6">
        <v>38217</v>
      </c>
      <c r="B1665">
        <v>5.8469000000000001E-4</v>
      </c>
    </row>
    <row r="1666" spans="1:2" x14ac:dyDescent="0.25">
      <c r="A1666" s="6">
        <v>38218</v>
      </c>
      <c r="B1666">
        <v>5.8434999999999997E-4</v>
      </c>
    </row>
    <row r="1667" spans="1:2" x14ac:dyDescent="0.25">
      <c r="A1667" s="6">
        <v>38219</v>
      </c>
      <c r="B1667">
        <v>5.8399999999999999E-4</v>
      </c>
    </row>
    <row r="1668" spans="1:2" x14ac:dyDescent="0.25">
      <c r="A1668" s="6">
        <v>38222</v>
      </c>
      <c r="B1668">
        <v>5.8366000000000006E-4</v>
      </c>
    </row>
    <row r="1669" spans="1:2" x14ac:dyDescent="0.25">
      <c r="A1669" s="6">
        <v>38223</v>
      </c>
      <c r="B1669">
        <v>5.8332000000000002E-4</v>
      </c>
    </row>
    <row r="1670" spans="1:2" x14ac:dyDescent="0.25">
      <c r="A1670" s="6">
        <v>38224</v>
      </c>
      <c r="B1670">
        <v>5.8366000000000006E-4</v>
      </c>
    </row>
    <row r="1671" spans="1:2" x14ac:dyDescent="0.25">
      <c r="A1671" s="6">
        <v>38225</v>
      </c>
      <c r="B1671">
        <v>5.8434999999999997E-4</v>
      </c>
    </row>
    <row r="1672" spans="1:2" x14ac:dyDescent="0.25">
      <c r="A1672" s="6">
        <v>38226</v>
      </c>
      <c r="B1672">
        <v>5.8502999999999995E-4</v>
      </c>
    </row>
    <row r="1673" spans="1:2" x14ac:dyDescent="0.25">
      <c r="A1673" s="6">
        <v>38229</v>
      </c>
      <c r="B1673">
        <v>5.8606000000000001E-4</v>
      </c>
    </row>
    <row r="1674" spans="1:2" x14ac:dyDescent="0.25">
      <c r="A1674" s="6">
        <v>38230</v>
      </c>
      <c r="B1674">
        <v>5.8606000000000001E-4</v>
      </c>
    </row>
    <row r="1675" spans="1:2" x14ac:dyDescent="0.25">
      <c r="A1675" s="6">
        <v>38231</v>
      </c>
      <c r="B1675">
        <v>5.8639999999999994E-4</v>
      </c>
    </row>
    <row r="1676" spans="1:2" x14ac:dyDescent="0.25">
      <c r="A1676" s="6">
        <v>38232</v>
      </c>
      <c r="B1676">
        <v>5.8639999999999994E-4</v>
      </c>
    </row>
    <row r="1677" spans="1:2" x14ac:dyDescent="0.25">
      <c r="A1677" s="6">
        <v>38233</v>
      </c>
      <c r="B1677">
        <v>5.8639999999999994E-4</v>
      </c>
    </row>
    <row r="1678" spans="1:2" x14ac:dyDescent="0.25">
      <c r="A1678" s="6">
        <v>38236</v>
      </c>
      <c r="B1678">
        <v>5.8639999999999994E-4</v>
      </c>
    </row>
    <row r="1679" spans="1:2" x14ac:dyDescent="0.25">
      <c r="A1679" s="6">
        <v>38238</v>
      </c>
      <c r="B1679">
        <v>5.8673999999999998E-4</v>
      </c>
    </row>
    <row r="1680" spans="1:2" x14ac:dyDescent="0.25">
      <c r="A1680" s="6">
        <v>38239</v>
      </c>
      <c r="B1680">
        <v>5.8673999999999998E-4</v>
      </c>
    </row>
    <row r="1681" spans="1:2" x14ac:dyDescent="0.25">
      <c r="A1681" s="6">
        <v>38240</v>
      </c>
      <c r="B1681">
        <v>5.8708999999999996E-4</v>
      </c>
    </row>
    <row r="1682" spans="1:2" x14ac:dyDescent="0.25">
      <c r="A1682" s="6">
        <v>38243</v>
      </c>
      <c r="B1682">
        <v>5.8743000000000001E-4</v>
      </c>
    </row>
    <row r="1683" spans="1:2" x14ac:dyDescent="0.25">
      <c r="A1683" s="6">
        <v>38244</v>
      </c>
      <c r="B1683">
        <v>5.8810999999999998E-4</v>
      </c>
    </row>
    <row r="1684" spans="1:2" x14ac:dyDescent="0.25">
      <c r="A1684" s="6">
        <v>38245</v>
      </c>
      <c r="B1684">
        <v>5.8810999999999998E-4</v>
      </c>
    </row>
    <row r="1685" spans="1:2" x14ac:dyDescent="0.25">
      <c r="A1685" s="6">
        <v>38246</v>
      </c>
      <c r="B1685">
        <v>5.9666999999999999E-4</v>
      </c>
    </row>
    <row r="1686" spans="1:2" x14ac:dyDescent="0.25">
      <c r="A1686" s="6">
        <v>38247</v>
      </c>
      <c r="B1686">
        <v>5.9700999999999992E-4</v>
      </c>
    </row>
    <row r="1687" spans="1:2" x14ac:dyDescent="0.25">
      <c r="A1687" s="6">
        <v>38250</v>
      </c>
      <c r="B1687">
        <v>5.9735000000000007E-4</v>
      </c>
    </row>
    <row r="1688" spans="1:2" x14ac:dyDescent="0.25">
      <c r="A1688" s="6">
        <v>38251</v>
      </c>
      <c r="B1688">
        <v>5.9735000000000007E-4</v>
      </c>
    </row>
    <row r="1689" spans="1:2" x14ac:dyDescent="0.25">
      <c r="A1689" s="6">
        <v>38252</v>
      </c>
      <c r="B1689">
        <v>5.9735000000000007E-4</v>
      </c>
    </row>
    <row r="1690" spans="1:2" x14ac:dyDescent="0.25">
      <c r="A1690" s="6">
        <v>38253</v>
      </c>
      <c r="B1690">
        <v>5.9735000000000007E-4</v>
      </c>
    </row>
    <row r="1691" spans="1:2" x14ac:dyDescent="0.25">
      <c r="A1691" s="6">
        <v>38254</v>
      </c>
      <c r="B1691">
        <v>5.9735000000000007E-4</v>
      </c>
    </row>
    <row r="1692" spans="1:2" x14ac:dyDescent="0.25">
      <c r="A1692" s="6">
        <v>38257</v>
      </c>
      <c r="B1692">
        <v>5.9735000000000007E-4</v>
      </c>
    </row>
    <row r="1693" spans="1:2" x14ac:dyDescent="0.25">
      <c r="A1693" s="6">
        <v>38258</v>
      </c>
      <c r="B1693">
        <v>5.9735000000000007E-4</v>
      </c>
    </row>
    <row r="1694" spans="1:2" x14ac:dyDescent="0.25">
      <c r="A1694" s="6">
        <v>38259</v>
      </c>
      <c r="B1694">
        <v>5.9700999999999992E-4</v>
      </c>
    </row>
    <row r="1695" spans="1:2" x14ac:dyDescent="0.25">
      <c r="A1695" s="6">
        <v>38260</v>
      </c>
      <c r="B1695">
        <v>5.9735000000000007E-4</v>
      </c>
    </row>
    <row r="1696" spans="1:2" x14ac:dyDescent="0.25">
      <c r="A1696" s="6">
        <v>38261</v>
      </c>
      <c r="B1696">
        <v>5.9700999999999992E-4</v>
      </c>
    </row>
    <row r="1697" spans="1:2" x14ac:dyDescent="0.25">
      <c r="A1697" s="6">
        <v>38264</v>
      </c>
      <c r="B1697">
        <v>5.9666999999999999E-4</v>
      </c>
    </row>
    <row r="1698" spans="1:2" x14ac:dyDescent="0.25">
      <c r="A1698" s="6">
        <v>38265</v>
      </c>
      <c r="B1698">
        <v>5.9597999999999997E-4</v>
      </c>
    </row>
    <row r="1699" spans="1:2" x14ac:dyDescent="0.25">
      <c r="A1699" s="6">
        <v>38266</v>
      </c>
      <c r="B1699">
        <v>5.9666999999999999E-4</v>
      </c>
    </row>
    <row r="1700" spans="1:2" x14ac:dyDescent="0.25">
      <c r="A1700" s="6">
        <v>38267</v>
      </c>
      <c r="B1700">
        <v>5.9700999999999992E-4</v>
      </c>
    </row>
    <row r="1701" spans="1:2" x14ac:dyDescent="0.25">
      <c r="A1701" s="6">
        <v>38268</v>
      </c>
      <c r="B1701">
        <v>5.9735000000000007E-4</v>
      </c>
    </row>
    <row r="1702" spans="1:2" x14ac:dyDescent="0.25">
      <c r="A1702" s="6">
        <v>38271</v>
      </c>
      <c r="B1702">
        <v>5.9735000000000007E-4</v>
      </c>
    </row>
    <row r="1703" spans="1:2" x14ac:dyDescent="0.25">
      <c r="A1703" s="6">
        <v>38273</v>
      </c>
      <c r="B1703">
        <v>5.9735000000000007E-4</v>
      </c>
    </row>
    <row r="1704" spans="1:2" x14ac:dyDescent="0.25">
      <c r="A1704" s="6">
        <v>38274</v>
      </c>
      <c r="B1704">
        <v>5.9735000000000007E-4</v>
      </c>
    </row>
    <row r="1705" spans="1:2" x14ac:dyDescent="0.25">
      <c r="A1705" s="6">
        <v>38275</v>
      </c>
      <c r="B1705">
        <v>5.9735000000000007E-4</v>
      </c>
    </row>
    <row r="1706" spans="1:2" x14ac:dyDescent="0.25">
      <c r="A1706" s="6">
        <v>38278</v>
      </c>
      <c r="B1706">
        <v>5.9735000000000007E-4</v>
      </c>
    </row>
    <row r="1707" spans="1:2" x14ac:dyDescent="0.25">
      <c r="A1707" s="6">
        <v>38279</v>
      </c>
      <c r="B1707">
        <v>5.9735000000000007E-4</v>
      </c>
    </row>
    <row r="1708" spans="1:2" x14ac:dyDescent="0.25">
      <c r="A1708" s="6">
        <v>38280</v>
      </c>
      <c r="B1708">
        <v>5.9735000000000007E-4</v>
      </c>
    </row>
    <row r="1709" spans="1:2" x14ac:dyDescent="0.25">
      <c r="A1709" s="6">
        <v>38281</v>
      </c>
      <c r="B1709">
        <v>6.1439000000000003E-4</v>
      </c>
    </row>
    <row r="1710" spans="1:2" x14ac:dyDescent="0.25">
      <c r="A1710" s="6">
        <v>38282</v>
      </c>
      <c r="B1710">
        <v>6.1439000000000003E-4</v>
      </c>
    </row>
    <row r="1711" spans="1:2" x14ac:dyDescent="0.25">
      <c r="A1711" s="6">
        <v>38285</v>
      </c>
      <c r="B1711">
        <v>6.1439000000000003E-4</v>
      </c>
    </row>
    <row r="1712" spans="1:2" x14ac:dyDescent="0.25">
      <c r="A1712" s="6">
        <v>38286</v>
      </c>
      <c r="B1712">
        <v>6.1439000000000003E-4</v>
      </c>
    </row>
    <row r="1713" spans="1:2" x14ac:dyDescent="0.25">
      <c r="A1713" s="6">
        <v>38287</v>
      </c>
      <c r="B1713">
        <v>6.1439000000000003E-4</v>
      </c>
    </row>
    <row r="1714" spans="1:2" x14ac:dyDescent="0.25">
      <c r="A1714" s="6">
        <v>38288</v>
      </c>
      <c r="B1714">
        <v>6.1439000000000003E-4</v>
      </c>
    </row>
    <row r="1715" spans="1:2" x14ac:dyDescent="0.25">
      <c r="A1715" s="6">
        <v>38289</v>
      </c>
      <c r="B1715">
        <v>6.1439000000000003E-4</v>
      </c>
    </row>
    <row r="1716" spans="1:2" x14ac:dyDescent="0.25">
      <c r="A1716" s="6">
        <v>38292</v>
      </c>
      <c r="B1716">
        <v>6.1439000000000003E-4</v>
      </c>
    </row>
    <row r="1717" spans="1:2" x14ac:dyDescent="0.25">
      <c r="A1717" s="6">
        <v>38294</v>
      </c>
      <c r="B1717">
        <v>6.1404999999999999E-4</v>
      </c>
    </row>
    <row r="1718" spans="1:2" x14ac:dyDescent="0.25">
      <c r="A1718" s="6">
        <v>38295</v>
      </c>
      <c r="B1718">
        <v>6.1404999999999999E-4</v>
      </c>
    </row>
    <row r="1719" spans="1:2" x14ac:dyDescent="0.25">
      <c r="A1719" s="6">
        <v>38296</v>
      </c>
      <c r="B1719">
        <v>6.1404999999999999E-4</v>
      </c>
    </row>
    <row r="1720" spans="1:2" x14ac:dyDescent="0.25">
      <c r="A1720" s="6">
        <v>38299</v>
      </c>
      <c r="B1720">
        <v>6.1439000000000003E-4</v>
      </c>
    </row>
    <row r="1721" spans="1:2" x14ac:dyDescent="0.25">
      <c r="A1721" s="6">
        <v>38300</v>
      </c>
      <c r="B1721">
        <v>6.1439000000000003E-4</v>
      </c>
    </row>
    <row r="1722" spans="1:2" x14ac:dyDescent="0.25">
      <c r="A1722" s="6">
        <v>38301</v>
      </c>
      <c r="B1722">
        <v>6.1439000000000003E-4</v>
      </c>
    </row>
    <row r="1723" spans="1:2" x14ac:dyDescent="0.25">
      <c r="A1723" s="6">
        <v>38302</v>
      </c>
      <c r="B1723">
        <v>6.1439000000000003E-4</v>
      </c>
    </row>
    <row r="1724" spans="1:2" x14ac:dyDescent="0.25">
      <c r="A1724" s="6">
        <v>38303</v>
      </c>
      <c r="B1724">
        <v>6.1439000000000003E-4</v>
      </c>
    </row>
    <row r="1725" spans="1:2" x14ac:dyDescent="0.25">
      <c r="A1725" s="6">
        <v>38307</v>
      </c>
      <c r="B1725">
        <v>6.1439000000000003E-4</v>
      </c>
    </row>
    <row r="1726" spans="1:2" x14ac:dyDescent="0.25">
      <c r="A1726" s="6">
        <v>38308</v>
      </c>
      <c r="B1726">
        <v>6.1439000000000003E-4</v>
      </c>
    </row>
    <row r="1727" spans="1:2" x14ac:dyDescent="0.25">
      <c r="A1727" s="6">
        <v>38309</v>
      </c>
      <c r="B1727">
        <v>6.3135999999999997E-4</v>
      </c>
    </row>
    <row r="1728" spans="1:2" x14ac:dyDescent="0.25">
      <c r="A1728" s="6">
        <v>38310</v>
      </c>
      <c r="B1728">
        <v>6.3135999999999997E-4</v>
      </c>
    </row>
    <row r="1729" spans="1:2" x14ac:dyDescent="0.25">
      <c r="A1729" s="6">
        <v>38313</v>
      </c>
      <c r="B1729">
        <v>6.3102000000000004E-4</v>
      </c>
    </row>
    <row r="1730" spans="1:2" x14ac:dyDescent="0.25">
      <c r="A1730" s="6">
        <v>38314</v>
      </c>
      <c r="B1730">
        <v>6.3102000000000004E-4</v>
      </c>
    </row>
    <row r="1731" spans="1:2" x14ac:dyDescent="0.25">
      <c r="A1731" s="6">
        <v>38315</v>
      </c>
      <c r="B1731">
        <v>6.3135999999999997E-4</v>
      </c>
    </row>
    <row r="1732" spans="1:2" x14ac:dyDescent="0.25">
      <c r="A1732" s="6">
        <v>38316</v>
      </c>
      <c r="B1732">
        <v>6.3102000000000004E-4</v>
      </c>
    </row>
    <row r="1733" spans="1:2" x14ac:dyDescent="0.25">
      <c r="A1733" s="6">
        <v>38317</v>
      </c>
      <c r="B1733">
        <v>6.3068E-4</v>
      </c>
    </row>
    <row r="1734" spans="1:2" x14ac:dyDescent="0.25">
      <c r="A1734" s="6">
        <v>38320</v>
      </c>
      <c r="B1734">
        <v>6.3068E-4</v>
      </c>
    </row>
    <row r="1735" spans="1:2" x14ac:dyDescent="0.25">
      <c r="A1735" s="6">
        <v>38321</v>
      </c>
      <c r="B1735">
        <v>6.303499999999999E-4</v>
      </c>
    </row>
    <row r="1736" spans="1:2" x14ac:dyDescent="0.25">
      <c r="A1736" s="6">
        <v>38322</v>
      </c>
      <c r="B1736">
        <v>6.3102000000000004E-4</v>
      </c>
    </row>
    <row r="1737" spans="1:2" x14ac:dyDescent="0.25">
      <c r="A1737" s="6">
        <v>38323</v>
      </c>
      <c r="B1737">
        <v>6.3102000000000004E-4</v>
      </c>
    </row>
    <row r="1738" spans="1:2" x14ac:dyDescent="0.25">
      <c r="A1738" s="6">
        <v>38324</v>
      </c>
      <c r="B1738">
        <v>6.3102000000000004E-4</v>
      </c>
    </row>
    <row r="1739" spans="1:2" x14ac:dyDescent="0.25">
      <c r="A1739" s="6">
        <v>38327</v>
      </c>
      <c r="B1739">
        <v>6.3135999999999997E-4</v>
      </c>
    </row>
    <row r="1740" spans="1:2" x14ac:dyDescent="0.25">
      <c r="A1740" s="6">
        <v>38328</v>
      </c>
      <c r="B1740">
        <v>6.3135999999999997E-4</v>
      </c>
    </row>
    <row r="1741" spans="1:2" x14ac:dyDescent="0.25">
      <c r="A1741" s="6">
        <v>38329</v>
      </c>
      <c r="B1741">
        <v>6.3135999999999997E-4</v>
      </c>
    </row>
    <row r="1742" spans="1:2" x14ac:dyDescent="0.25">
      <c r="A1742" s="6">
        <v>38330</v>
      </c>
      <c r="B1742">
        <v>6.3135999999999997E-4</v>
      </c>
    </row>
    <row r="1743" spans="1:2" x14ac:dyDescent="0.25">
      <c r="A1743" s="6">
        <v>38331</v>
      </c>
      <c r="B1743">
        <v>6.3135999999999997E-4</v>
      </c>
    </row>
    <row r="1744" spans="1:2" x14ac:dyDescent="0.25">
      <c r="A1744" s="6">
        <v>38334</v>
      </c>
      <c r="B1744">
        <v>6.3135999999999997E-4</v>
      </c>
    </row>
    <row r="1745" spans="1:2" x14ac:dyDescent="0.25">
      <c r="A1745" s="6">
        <v>38335</v>
      </c>
      <c r="B1745">
        <v>6.3135999999999997E-4</v>
      </c>
    </row>
    <row r="1746" spans="1:2" x14ac:dyDescent="0.25">
      <c r="A1746" s="6">
        <v>38336</v>
      </c>
      <c r="B1746">
        <v>6.3170000000000001E-4</v>
      </c>
    </row>
    <row r="1747" spans="1:2" x14ac:dyDescent="0.25">
      <c r="A1747" s="6">
        <v>38337</v>
      </c>
      <c r="B1747">
        <v>6.482599999999999E-4</v>
      </c>
    </row>
    <row r="1748" spans="1:2" x14ac:dyDescent="0.25">
      <c r="A1748" s="6">
        <v>38338</v>
      </c>
      <c r="B1748">
        <v>6.482599999999999E-4</v>
      </c>
    </row>
    <row r="1749" spans="1:2" x14ac:dyDescent="0.25">
      <c r="A1749" s="6">
        <v>38341</v>
      </c>
      <c r="B1749">
        <v>6.482599999999999E-4</v>
      </c>
    </row>
    <row r="1750" spans="1:2" x14ac:dyDescent="0.25">
      <c r="A1750" s="6">
        <v>38342</v>
      </c>
      <c r="B1750">
        <v>6.482599999999999E-4</v>
      </c>
    </row>
    <row r="1751" spans="1:2" x14ac:dyDescent="0.25">
      <c r="A1751" s="6">
        <v>38343</v>
      </c>
      <c r="B1751">
        <v>6.482599999999999E-4</v>
      </c>
    </row>
    <row r="1752" spans="1:2" x14ac:dyDescent="0.25">
      <c r="A1752" s="6">
        <v>38344</v>
      </c>
      <c r="B1752">
        <v>6.482599999999999E-4</v>
      </c>
    </row>
    <row r="1753" spans="1:2" x14ac:dyDescent="0.25">
      <c r="A1753" s="6">
        <v>38345</v>
      </c>
      <c r="B1753">
        <v>6.482599999999999E-4</v>
      </c>
    </row>
    <row r="1754" spans="1:2" x14ac:dyDescent="0.25">
      <c r="A1754" s="6">
        <v>38348</v>
      </c>
      <c r="B1754">
        <v>6.482599999999999E-4</v>
      </c>
    </row>
    <row r="1755" spans="1:2" x14ac:dyDescent="0.25">
      <c r="A1755" s="6">
        <v>38349</v>
      </c>
      <c r="B1755">
        <v>6.482599999999999E-4</v>
      </c>
    </row>
    <row r="1756" spans="1:2" x14ac:dyDescent="0.25">
      <c r="A1756" s="6">
        <v>38350</v>
      </c>
      <c r="B1756">
        <v>6.482599999999999E-4</v>
      </c>
    </row>
    <row r="1757" spans="1:2" x14ac:dyDescent="0.25">
      <c r="A1757" s="6">
        <v>38351</v>
      </c>
      <c r="B1757">
        <v>6.4860000000000004E-4</v>
      </c>
    </row>
    <row r="1758" spans="1:2" x14ac:dyDescent="0.25">
      <c r="A1758" s="6">
        <v>38352</v>
      </c>
      <c r="B1758">
        <v>6.4860000000000004E-4</v>
      </c>
    </row>
    <row r="1759" spans="1:2" x14ac:dyDescent="0.25">
      <c r="A1759" s="6">
        <v>38355</v>
      </c>
      <c r="B1759">
        <v>6.482599999999999E-4</v>
      </c>
    </row>
    <row r="1760" spans="1:2" x14ac:dyDescent="0.25">
      <c r="A1760" s="6">
        <v>38356</v>
      </c>
      <c r="B1760">
        <v>6.482599999999999E-4</v>
      </c>
    </row>
    <row r="1761" spans="1:2" x14ac:dyDescent="0.25">
      <c r="A1761" s="6">
        <v>38357</v>
      </c>
      <c r="B1761">
        <v>6.482599999999999E-4</v>
      </c>
    </row>
    <row r="1762" spans="1:2" x14ac:dyDescent="0.25">
      <c r="A1762" s="6">
        <v>38358</v>
      </c>
      <c r="B1762">
        <v>6.482599999999999E-4</v>
      </c>
    </row>
    <row r="1763" spans="1:2" x14ac:dyDescent="0.25">
      <c r="A1763" s="6">
        <v>38359</v>
      </c>
      <c r="B1763">
        <v>6.482599999999999E-4</v>
      </c>
    </row>
    <row r="1764" spans="1:2" x14ac:dyDescent="0.25">
      <c r="A1764" s="6">
        <v>38362</v>
      </c>
      <c r="B1764">
        <v>6.482599999999999E-4</v>
      </c>
    </row>
    <row r="1765" spans="1:2" x14ac:dyDescent="0.25">
      <c r="A1765" s="6">
        <v>38363</v>
      </c>
      <c r="B1765">
        <v>6.482599999999999E-4</v>
      </c>
    </row>
    <row r="1766" spans="1:2" x14ac:dyDescent="0.25">
      <c r="A1766" s="6">
        <v>38364</v>
      </c>
      <c r="B1766">
        <v>6.482599999999999E-4</v>
      </c>
    </row>
    <row r="1767" spans="1:2" x14ac:dyDescent="0.25">
      <c r="A1767" s="6">
        <v>38365</v>
      </c>
      <c r="B1767">
        <v>6.482599999999999E-4</v>
      </c>
    </row>
    <row r="1768" spans="1:2" x14ac:dyDescent="0.25">
      <c r="A1768" s="6">
        <v>38366</v>
      </c>
      <c r="B1768">
        <v>6.482599999999999E-4</v>
      </c>
    </row>
    <row r="1769" spans="1:2" x14ac:dyDescent="0.25">
      <c r="A1769" s="6">
        <v>38369</v>
      </c>
      <c r="B1769">
        <v>6.482599999999999E-4</v>
      </c>
    </row>
    <row r="1770" spans="1:2" x14ac:dyDescent="0.25">
      <c r="A1770" s="6">
        <v>38370</v>
      </c>
      <c r="B1770">
        <v>6.482599999999999E-4</v>
      </c>
    </row>
    <row r="1771" spans="1:2" x14ac:dyDescent="0.25">
      <c r="A1771" s="6">
        <v>38371</v>
      </c>
      <c r="B1771">
        <v>6.4860000000000004E-4</v>
      </c>
    </row>
    <row r="1772" spans="1:2" x14ac:dyDescent="0.25">
      <c r="A1772" s="6">
        <v>38372</v>
      </c>
      <c r="B1772">
        <v>6.6509000000000002E-4</v>
      </c>
    </row>
    <row r="1773" spans="1:2" x14ac:dyDescent="0.25">
      <c r="A1773" s="6">
        <v>38373</v>
      </c>
      <c r="B1773">
        <v>6.6509000000000002E-4</v>
      </c>
    </row>
    <row r="1774" spans="1:2" x14ac:dyDescent="0.25">
      <c r="A1774" s="6">
        <v>38376</v>
      </c>
      <c r="B1774">
        <v>6.6509000000000002E-4</v>
      </c>
    </row>
    <row r="1775" spans="1:2" x14ac:dyDescent="0.25">
      <c r="A1775" s="6">
        <v>38377</v>
      </c>
      <c r="B1775">
        <v>6.6509000000000002E-4</v>
      </c>
    </row>
    <row r="1776" spans="1:2" x14ac:dyDescent="0.25">
      <c r="A1776" s="6">
        <v>38378</v>
      </c>
      <c r="B1776">
        <v>6.6509000000000002E-4</v>
      </c>
    </row>
    <row r="1777" spans="1:2" x14ac:dyDescent="0.25">
      <c r="A1777" s="6">
        <v>38379</v>
      </c>
      <c r="B1777">
        <v>6.6509000000000002E-4</v>
      </c>
    </row>
    <row r="1778" spans="1:2" x14ac:dyDescent="0.25">
      <c r="A1778" s="6">
        <v>38380</v>
      </c>
      <c r="B1778">
        <v>6.6509000000000002E-4</v>
      </c>
    </row>
    <row r="1779" spans="1:2" x14ac:dyDescent="0.25">
      <c r="A1779" s="6">
        <v>38383</v>
      </c>
      <c r="B1779">
        <v>6.6509000000000002E-4</v>
      </c>
    </row>
    <row r="1780" spans="1:2" x14ac:dyDescent="0.25">
      <c r="A1780" s="6">
        <v>38384</v>
      </c>
      <c r="B1780">
        <v>6.6509000000000002E-4</v>
      </c>
    </row>
    <row r="1781" spans="1:2" x14ac:dyDescent="0.25">
      <c r="A1781" s="6">
        <v>38385</v>
      </c>
      <c r="B1781">
        <v>6.6542000000000001E-4</v>
      </c>
    </row>
    <row r="1782" spans="1:2" x14ac:dyDescent="0.25">
      <c r="A1782" s="6">
        <v>38386</v>
      </c>
      <c r="B1782">
        <v>6.6542000000000001E-4</v>
      </c>
    </row>
    <row r="1783" spans="1:2" x14ac:dyDescent="0.25">
      <c r="A1783" s="6">
        <v>38387</v>
      </c>
      <c r="B1783">
        <v>6.6542000000000001E-4</v>
      </c>
    </row>
    <row r="1784" spans="1:2" x14ac:dyDescent="0.25">
      <c r="A1784" s="6">
        <v>38392</v>
      </c>
      <c r="B1784">
        <v>6.6542000000000001E-4</v>
      </c>
    </row>
    <row r="1785" spans="1:2" x14ac:dyDescent="0.25">
      <c r="A1785" s="6">
        <v>38393</v>
      </c>
      <c r="B1785">
        <v>6.6542000000000001E-4</v>
      </c>
    </row>
    <row r="1786" spans="1:2" x14ac:dyDescent="0.25">
      <c r="A1786" s="6">
        <v>38394</v>
      </c>
      <c r="B1786">
        <v>6.6575999999999994E-4</v>
      </c>
    </row>
    <row r="1787" spans="1:2" x14ac:dyDescent="0.25">
      <c r="A1787" s="6">
        <v>38397</v>
      </c>
      <c r="B1787">
        <v>6.6575999999999994E-4</v>
      </c>
    </row>
    <row r="1788" spans="1:2" x14ac:dyDescent="0.25">
      <c r="A1788" s="6">
        <v>38398</v>
      </c>
      <c r="B1788">
        <v>6.6575999999999994E-4</v>
      </c>
    </row>
    <row r="1789" spans="1:2" x14ac:dyDescent="0.25">
      <c r="A1789" s="6">
        <v>38399</v>
      </c>
      <c r="B1789">
        <v>6.6575999999999994E-4</v>
      </c>
    </row>
    <row r="1790" spans="1:2" x14ac:dyDescent="0.25">
      <c r="A1790" s="6">
        <v>38400</v>
      </c>
      <c r="B1790">
        <v>6.8218E-4</v>
      </c>
    </row>
    <row r="1791" spans="1:2" x14ac:dyDescent="0.25">
      <c r="A1791" s="6">
        <v>38401</v>
      </c>
      <c r="B1791">
        <v>6.8218E-4</v>
      </c>
    </row>
    <row r="1792" spans="1:2" x14ac:dyDescent="0.25">
      <c r="A1792" s="6">
        <v>38404</v>
      </c>
      <c r="B1792">
        <v>6.8218E-4</v>
      </c>
    </row>
    <row r="1793" spans="1:2" x14ac:dyDescent="0.25">
      <c r="A1793" s="6">
        <v>38405</v>
      </c>
      <c r="B1793">
        <v>6.8218E-4</v>
      </c>
    </row>
    <row r="1794" spans="1:2" x14ac:dyDescent="0.25">
      <c r="A1794" s="6">
        <v>38406</v>
      </c>
      <c r="B1794">
        <v>6.8218E-4</v>
      </c>
    </row>
    <row r="1795" spans="1:2" x14ac:dyDescent="0.25">
      <c r="A1795" s="6">
        <v>38407</v>
      </c>
      <c r="B1795">
        <v>6.8218E-4</v>
      </c>
    </row>
    <row r="1796" spans="1:2" x14ac:dyDescent="0.25">
      <c r="A1796" s="6">
        <v>38408</v>
      </c>
      <c r="B1796">
        <v>6.8218E-4</v>
      </c>
    </row>
    <row r="1797" spans="1:2" x14ac:dyDescent="0.25">
      <c r="A1797" s="6">
        <v>38411</v>
      </c>
      <c r="B1797">
        <v>6.8183999999999996E-4</v>
      </c>
    </row>
    <row r="1798" spans="1:2" x14ac:dyDescent="0.25">
      <c r="A1798" s="6">
        <v>38412</v>
      </c>
      <c r="B1798">
        <v>6.8183999999999996E-4</v>
      </c>
    </row>
    <row r="1799" spans="1:2" x14ac:dyDescent="0.25">
      <c r="A1799" s="6">
        <v>38413</v>
      </c>
      <c r="B1799">
        <v>6.8183999999999996E-4</v>
      </c>
    </row>
    <row r="1800" spans="1:2" x14ac:dyDescent="0.25">
      <c r="A1800" s="6">
        <v>38414</v>
      </c>
      <c r="B1800">
        <v>6.8183999999999996E-4</v>
      </c>
    </row>
    <row r="1801" spans="1:2" x14ac:dyDescent="0.25">
      <c r="A1801" s="6">
        <v>38415</v>
      </c>
      <c r="B1801">
        <v>6.8183999999999996E-4</v>
      </c>
    </row>
    <row r="1802" spans="1:2" x14ac:dyDescent="0.25">
      <c r="A1802" s="6">
        <v>38418</v>
      </c>
      <c r="B1802">
        <v>6.8218E-4</v>
      </c>
    </row>
    <row r="1803" spans="1:2" x14ac:dyDescent="0.25">
      <c r="A1803" s="6">
        <v>38419</v>
      </c>
      <c r="B1803">
        <v>6.8218E-4</v>
      </c>
    </row>
    <row r="1804" spans="1:2" x14ac:dyDescent="0.25">
      <c r="A1804" s="6">
        <v>38420</v>
      </c>
      <c r="B1804">
        <v>6.8218E-4</v>
      </c>
    </row>
    <row r="1805" spans="1:2" x14ac:dyDescent="0.25">
      <c r="A1805" s="6">
        <v>38421</v>
      </c>
      <c r="B1805">
        <v>6.8218E-4</v>
      </c>
    </row>
    <row r="1806" spans="1:2" x14ac:dyDescent="0.25">
      <c r="A1806" s="6">
        <v>38422</v>
      </c>
      <c r="B1806">
        <v>6.8218E-4</v>
      </c>
    </row>
    <row r="1807" spans="1:2" x14ac:dyDescent="0.25">
      <c r="A1807" s="6">
        <v>38425</v>
      </c>
      <c r="B1807">
        <v>6.8218E-4</v>
      </c>
    </row>
    <row r="1808" spans="1:2" x14ac:dyDescent="0.25">
      <c r="A1808" s="6">
        <v>38426</v>
      </c>
      <c r="B1808">
        <v>6.8218E-4</v>
      </c>
    </row>
    <row r="1809" spans="1:2" x14ac:dyDescent="0.25">
      <c r="A1809" s="6">
        <v>38427</v>
      </c>
      <c r="B1809">
        <v>6.8218E-4</v>
      </c>
    </row>
    <row r="1810" spans="1:2" x14ac:dyDescent="0.25">
      <c r="A1810" s="6">
        <v>38428</v>
      </c>
      <c r="B1810">
        <v>6.9852999999999994E-4</v>
      </c>
    </row>
    <row r="1811" spans="1:2" x14ac:dyDescent="0.25">
      <c r="A1811" s="6">
        <v>38429</v>
      </c>
      <c r="B1811">
        <v>6.9852999999999994E-4</v>
      </c>
    </row>
    <row r="1812" spans="1:2" x14ac:dyDescent="0.25">
      <c r="A1812" s="6">
        <v>38432</v>
      </c>
      <c r="B1812">
        <v>6.9852999999999994E-4</v>
      </c>
    </row>
    <row r="1813" spans="1:2" x14ac:dyDescent="0.25">
      <c r="A1813" s="6">
        <v>38433</v>
      </c>
      <c r="B1813">
        <v>6.9852999999999994E-4</v>
      </c>
    </row>
    <row r="1814" spans="1:2" x14ac:dyDescent="0.25">
      <c r="A1814" s="6">
        <v>38434</v>
      </c>
      <c r="B1814">
        <v>6.9852999999999994E-4</v>
      </c>
    </row>
    <row r="1815" spans="1:2" x14ac:dyDescent="0.25">
      <c r="A1815" s="6">
        <v>38435</v>
      </c>
      <c r="B1815">
        <v>6.9852999999999994E-4</v>
      </c>
    </row>
    <row r="1816" spans="1:2" x14ac:dyDescent="0.25">
      <c r="A1816" s="6">
        <v>38439</v>
      </c>
      <c r="B1816">
        <v>6.9886000000000004E-4</v>
      </c>
    </row>
    <row r="1817" spans="1:2" x14ac:dyDescent="0.25">
      <c r="A1817" s="6">
        <v>38440</v>
      </c>
      <c r="B1817">
        <v>6.9886000000000004E-4</v>
      </c>
    </row>
    <row r="1818" spans="1:2" x14ac:dyDescent="0.25">
      <c r="A1818" s="6">
        <v>38441</v>
      </c>
      <c r="B1818">
        <v>6.9886000000000004E-4</v>
      </c>
    </row>
    <row r="1819" spans="1:2" x14ac:dyDescent="0.25">
      <c r="A1819" s="6">
        <v>38442</v>
      </c>
      <c r="B1819">
        <v>6.9886000000000004E-4</v>
      </c>
    </row>
    <row r="1820" spans="1:2" x14ac:dyDescent="0.25">
      <c r="A1820" s="6">
        <v>38443</v>
      </c>
      <c r="B1820">
        <v>6.9852999999999994E-4</v>
      </c>
    </row>
    <row r="1821" spans="1:2" x14ac:dyDescent="0.25">
      <c r="A1821" s="6">
        <v>38446</v>
      </c>
      <c r="B1821">
        <v>6.9852999999999994E-4</v>
      </c>
    </row>
    <row r="1822" spans="1:2" x14ac:dyDescent="0.25">
      <c r="A1822" s="6">
        <v>38447</v>
      </c>
      <c r="B1822">
        <v>6.9852999999999994E-4</v>
      </c>
    </row>
    <row r="1823" spans="1:2" x14ac:dyDescent="0.25">
      <c r="A1823" s="6">
        <v>38448</v>
      </c>
      <c r="B1823">
        <v>6.9852999999999994E-4</v>
      </c>
    </row>
    <row r="1824" spans="1:2" x14ac:dyDescent="0.25">
      <c r="A1824" s="6">
        <v>38449</v>
      </c>
      <c r="B1824">
        <v>6.9852999999999994E-4</v>
      </c>
    </row>
    <row r="1825" spans="1:2" x14ac:dyDescent="0.25">
      <c r="A1825" s="6">
        <v>38450</v>
      </c>
      <c r="B1825">
        <v>6.9852999999999994E-4</v>
      </c>
    </row>
    <row r="1826" spans="1:2" x14ac:dyDescent="0.25">
      <c r="A1826" s="6">
        <v>38453</v>
      </c>
      <c r="B1826">
        <v>6.9852999999999994E-4</v>
      </c>
    </row>
    <row r="1827" spans="1:2" x14ac:dyDescent="0.25">
      <c r="A1827" s="6">
        <v>38454</v>
      </c>
      <c r="B1827">
        <v>6.9852999999999994E-4</v>
      </c>
    </row>
    <row r="1828" spans="1:2" x14ac:dyDescent="0.25">
      <c r="A1828" s="6">
        <v>38455</v>
      </c>
      <c r="B1828">
        <v>6.9852999999999994E-4</v>
      </c>
    </row>
    <row r="1829" spans="1:2" x14ac:dyDescent="0.25">
      <c r="A1829" s="6">
        <v>38456</v>
      </c>
      <c r="B1829">
        <v>6.9852999999999994E-4</v>
      </c>
    </row>
    <row r="1830" spans="1:2" x14ac:dyDescent="0.25">
      <c r="A1830" s="6">
        <v>38457</v>
      </c>
      <c r="B1830">
        <v>6.9852999999999994E-4</v>
      </c>
    </row>
    <row r="1831" spans="1:2" x14ac:dyDescent="0.25">
      <c r="A1831" s="6">
        <v>38460</v>
      </c>
      <c r="B1831">
        <v>6.9852999999999994E-4</v>
      </c>
    </row>
    <row r="1832" spans="1:2" x14ac:dyDescent="0.25">
      <c r="A1832" s="6">
        <v>38461</v>
      </c>
      <c r="B1832">
        <v>6.9852999999999994E-4</v>
      </c>
    </row>
    <row r="1833" spans="1:2" x14ac:dyDescent="0.25">
      <c r="A1833" s="6">
        <v>38462</v>
      </c>
      <c r="B1833">
        <v>6.9852999999999994E-4</v>
      </c>
    </row>
    <row r="1834" spans="1:2" x14ac:dyDescent="0.25">
      <c r="A1834" s="6">
        <v>38464</v>
      </c>
      <c r="B1834">
        <v>7.0684999999999997E-4</v>
      </c>
    </row>
    <row r="1835" spans="1:2" x14ac:dyDescent="0.25">
      <c r="A1835" s="6">
        <v>38467</v>
      </c>
      <c r="B1835">
        <v>7.0684999999999997E-4</v>
      </c>
    </row>
    <row r="1836" spans="1:2" x14ac:dyDescent="0.25">
      <c r="A1836" s="6">
        <v>38468</v>
      </c>
      <c r="B1836">
        <v>7.0684999999999997E-4</v>
      </c>
    </row>
    <row r="1837" spans="1:2" x14ac:dyDescent="0.25">
      <c r="A1837" s="6">
        <v>38469</v>
      </c>
      <c r="B1837">
        <v>7.0718000000000007E-4</v>
      </c>
    </row>
    <row r="1838" spans="1:2" x14ac:dyDescent="0.25">
      <c r="A1838" s="6">
        <v>38470</v>
      </c>
      <c r="B1838">
        <v>7.0718000000000007E-4</v>
      </c>
    </row>
    <row r="1839" spans="1:2" x14ac:dyDescent="0.25">
      <c r="A1839" s="6">
        <v>38471</v>
      </c>
      <c r="B1839">
        <v>7.0718000000000007E-4</v>
      </c>
    </row>
    <row r="1840" spans="1:2" x14ac:dyDescent="0.25">
      <c r="A1840" s="6">
        <v>38474</v>
      </c>
      <c r="B1840">
        <v>7.0718000000000007E-4</v>
      </c>
    </row>
    <row r="1841" spans="1:2" x14ac:dyDescent="0.25">
      <c r="A1841" s="6">
        <v>38475</v>
      </c>
      <c r="B1841">
        <v>7.0750999999999995E-4</v>
      </c>
    </row>
    <row r="1842" spans="1:2" x14ac:dyDescent="0.25">
      <c r="A1842" s="6">
        <v>38476</v>
      </c>
      <c r="B1842">
        <v>7.0750999999999995E-4</v>
      </c>
    </row>
    <row r="1843" spans="1:2" x14ac:dyDescent="0.25">
      <c r="A1843" s="6">
        <v>38477</v>
      </c>
      <c r="B1843">
        <v>7.0750999999999995E-4</v>
      </c>
    </row>
    <row r="1844" spans="1:2" x14ac:dyDescent="0.25">
      <c r="A1844" s="6">
        <v>38478</v>
      </c>
      <c r="B1844">
        <v>7.0750999999999995E-4</v>
      </c>
    </row>
    <row r="1845" spans="1:2" x14ac:dyDescent="0.25">
      <c r="A1845" s="6">
        <v>38481</v>
      </c>
      <c r="B1845">
        <v>7.0783999999999994E-4</v>
      </c>
    </row>
    <row r="1846" spans="1:2" x14ac:dyDescent="0.25">
      <c r="A1846" s="6">
        <v>38482</v>
      </c>
      <c r="B1846">
        <v>7.0783999999999994E-4</v>
      </c>
    </row>
    <row r="1847" spans="1:2" x14ac:dyDescent="0.25">
      <c r="A1847" s="6">
        <v>38483</v>
      </c>
      <c r="B1847">
        <v>7.0783999999999994E-4</v>
      </c>
    </row>
    <row r="1848" spans="1:2" x14ac:dyDescent="0.25">
      <c r="A1848" s="6">
        <v>38484</v>
      </c>
      <c r="B1848">
        <v>7.0783999999999994E-4</v>
      </c>
    </row>
    <row r="1849" spans="1:2" x14ac:dyDescent="0.25">
      <c r="A1849" s="6">
        <v>38485</v>
      </c>
      <c r="B1849">
        <v>7.0783999999999994E-4</v>
      </c>
    </row>
    <row r="1850" spans="1:2" x14ac:dyDescent="0.25">
      <c r="A1850" s="6">
        <v>38488</v>
      </c>
      <c r="B1850">
        <v>7.0783999999999994E-4</v>
      </c>
    </row>
    <row r="1851" spans="1:2" x14ac:dyDescent="0.25">
      <c r="A1851" s="6">
        <v>38489</v>
      </c>
      <c r="B1851">
        <v>7.0783999999999994E-4</v>
      </c>
    </row>
    <row r="1852" spans="1:2" x14ac:dyDescent="0.25">
      <c r="A1852" s="6">
        <v>38490</v>
      </c>
      <c r="B1852">
        <v>7.0750999999999995E-4</v>
      </c>
    </row>
    <row r="1853" spans="1:2" x14ac:dyDescent="0.25">
      <c r="A1853" s="6">
        <v>38491</v>
      </c>
      <c r="B1853">
        <v>7.158100000000001E-4</v>
      </c>
    </row>
    <row r="1854" spans="1:2" x14ac:dyDescent="0.25">
      <c r="A1854" s="6">
        <v>38492</v>
      </c>
      <c r="B1854">
        <v>7.1548E-4</v>
      </c>
    </row>
    <row r="1855" spans="1:2" x14ac:dyDescent="0.25">
      <c r="A1855" s="6">
        <v>38495</v>
      </c>
      <c r="B1855">
        <v>7.1548E-4</v>
      </c>
    </row>
    <row r="1856" spans="1:2" x14ac:dyDescent="0.25">
      <c r="A1856" s="6">
        <v>38496</v>
      </c>
      <c r="B1856">
        <v>7.1548E-4</v>
      </c>
    </row>
    <row r="1857" spans="1:2" x14ac:dyDescent="0.25">
      <c r="A1857" s="6">
        <v>38497</v>
      </c>
      <c r="B1857">
        <v>7.1548E-4</v>
      </c>
    </row>
    <row r="1858" spans="1:2" x14ac:dyDescent="0.25">
      <c r="A1858" s="6">
        <v>38499</v>
      </c>
      <c r="B1858">
        <v>7.1548E-4</v>
      </c>
    </row>
    <row r="1859" spans="1:2" x14ac:dyDescent="0.25">
      <c r="A1859" s="6">
        <v>38502</v>
      </c>
      <c r="B1859">
        <v>7.1548E-4</v>
      </c>
    </row>
    <row r="1860" spans="1:2" x14ac:dyDescent="0.25">
      <c r="A1860" s="6">
        <v>38503</v>
      </c>
      <c r="B1860">
        <v>7.158100000000001E-4</v>
      </c>
    </row>
    <row r="1861" spans="1:2" x14ac:dyDescent="0.25">
      <c r="A1861" s="6">
        <v>38504</v>
      </c>
      <c r="B1861">
        <v>7.158100000000001E-4</v>
      </c>
    </row>
    <row r="1862" spans="1:2" x14ac:dyDescent="0.25">
      <c r="A1862" s="6">
        <v>38505</v>
      </c>
      <c r="B1862">
        <v>7.1548E-4</v>
      </c>
    </row>
    <row r="1863" spans="1:2" x14ac:dyDescent="0.25">
      <c r="A1863" s="6">
        <v>38506</v>
      </c>
      <c r="B1863">
        <v>7.1548E-4</v>
      </c>
    </row>
    <row r="1864" spans="1:2" x14ac:dyDescent="0.25">
      <c r="A1864" s="6">
        <v>38509</v>
      </c>
      <c r="B1864">
        <v>7.1548E-4</v>
      </c>
    </row>
    <row r="1865" spans="1:2" x14ac:dyDescent="0.25">
      <c r="A1865" s="6">
        <v>38510</v>
      </c>
      <c r="B1865">
        <v>7.1548E-4</v>
      </c>
    </row>
    <row r="1866" spans="1:2" x14ac:dyDescent="0.25">
      <c r="A1866" s="6">
        <v>38511</v>
      </c>
      <c r="B1866">
        <v>7.1548E-4</v>
      </c>
    </row>
    <row r="1867" spans="1:2" x14ac:dyDescent="0.25">
      <c r="A1867" s="6">
        <v>38512</v>
      </c>
      <c r="B1867">
        <v>7.1548E-4</v>
      </c>
    </row>
    <row r="1868" spans="1:2" x14ac:dyDescent="0.25">
      <c r="A1868" s="6">
        <v>38513</v>
      </c>
      <c r="B1868">
        <v>7.1548E-4</v>
      </c>
    </row>
    <row r="1869" spans="1:2" x14ac:dyDescent="0.25">
      <c r="A1869" s="6">
        <v>38516</v>
      </c>
      <c r="B1869">
        <v>7.1548E-4</v>
      </c>
    </row>
    <row r="1870" spans="1:2" x14ac:dyDescent="0.25">
      <c r="A1870" s="6">
        <v>38517</v>
      </c>
      <c r="B1870">
        <v>7.1548E-4</v>
      </c>
    </row>
    <row r="1871" spans="1:2" x14ac:dyDescent="0.25">
      <c r="A1871" s="6">
        <v>38518</v>
      </c>
      <c r="B1871">
        <v>7.1548E-4</v>
      </c>
    </row>
    <row r="1872" spans="1:2" x14ac:dyDescent="0.25">
      <c r="A1872" s="6">
        <v>38519</v>
      </c>
      <c r="B1872">
        <v>7.151499999999999E-4</v>
      </c>
    </row>
    <row r="1873" spans="1:2" x14ac:dyDescent="0.25">
      <c r="A1873" s="6">
        <v>38520</v>
      </c>
      <c r="B1873">
        <v>7.151499999999999E-4</v>
      </c>
    </row>
    <row r="1874" spans="1:2" x14ac:dyDescent="0.25">
      <c r="A1874" s="6">
        <v>38523</v>
      </c>
      <c r="B1874">
        <v>7.151499999999999E-4</v>
      </c>
    </row>
    <row r="1875" spans="1:2" x14ac:dyDescent="0.25">
      <c r="A1875" s="6">
        <v>38524</v>
      </c>
      <c r="B1875">
        <v>7.151499999999999E-4</v>
      </c>
    </row>
    <row r="1876" spans="1:2" x14ac:dyDescent="0.25">
      <c r="A1876" s="6">
        <v>38525</v>
      </c>
      <c r="B1876">
        <v>7.151499999999999E-4</v>
      </c>
    </row>
    <row r="1877" spans="1:2" x14ac:dyDescent="0.25">
      <c r="A1877" s="6">
        <v>38526</v>
      </c>
      <c r="B1877">
        <v>7.151499999999999E-4</v>
      </c>
    </row>
    <row r="1878" spans="1:2" x14ac:dyDescent="0.25">
      <c r="A1878" s="6">
        <v>38527</v>
      </c>
      <c r="B1878">
        <v>7.151499999999999E-4</v>
      </c>
    </row>
    <row r="1879" spans="1:2" x14ac:dyDescent="0.25">
      <c r="A1879" s="6">
        <v>38530</v>
      </c>
      <c r="B1879">
        <v>7.151499999999999E-4</v>
      </c>
    </row>
    <row r="1880" spans="1:2" x14ac:dyDescent="0.25">
      <c r="A1880" s="6">
        <v>38531</v>
      </c>
      <c r="B1880">
        <v>7.151499999999999E-4</v>
      </c>
    </row>
    <row r="1881" spans="1:2" x14ac:dyDescent="0.25">
      <c r="A1881" s="6">
        <v>38532</v>
      </c>
      <c r="B1881">
        <v>7.151499999999999E-4</v>
      </c>
    </row>
    <row r="1882" spans="1:2" x14ac:dyDescent="0.25">
      <c r="A1882" s="6">
        <v>38533</v>
      </c>
      <c r="B1882">
        <v>7.151499999999999E-4</v>
      </c>
    </row>
    <row r="1883" spans="1:2" x14ac:dyDescent="0.25">
      <c r="A1883" s="6">
        <v>38534</v>
      </c>
      <c r="B1883">
        <v>7.1481000000000008E-4</v>
      </c>
    </row>
    <row r="1884" spans="1:2" x14ac:dyDescent="0.25">
      <c r="A1884" s="6">
        <v>38537</v>
      </c>
      <c r="B1884">
        <v>7.1447999999999998E-4</v>
      </c>
    </row>
    <row r="1885" spans="1:2" x14ac:dyDescent="0.25">
      <c r="A1885" s="6">
        <v>38538</v>
      </c>
      <c r="B1885">
        <v>7.1447999999999998E-4</v>
      </c>
    </row>
    <row r="1886" spans="1:2" x14ac:dyDescent="0.25">
      <c r="A1886" s="6">
        <v>38539</v>
      </c>
      <c r="B1886">
        <v>7.1447999999999998E-4</v>
      </c>
    </row>
    <row r="1887" spans="1:2" x14ac:dyDescent="0.25">
      <c r="A1887" s="6">
        <v>38540</v>
      </c>
      <c r="B1887">
        <v>7.1447999999999998E-4</v>
      </c>
    </row>
    <row r="1888" spans="1:2" x14ac:dyDescent="0.25">
      <c r="A1888" s="6">
        <v>38541</v>
      </c>
      <c r="B1888">
        <v>7.1447999999999998E-4</v>
      </c>
    </row>
    <row r="1889" spans="1:2" x14ac:dyDescent="0.25">
      <c r="A1889" s="6">
        <v>38544</v>
      </c>
      <c r="B1889">
        <v>7.1447999999999998E-4</v>
      </c>
    </row>
    <row r="1890" spans="1:2" x14ac:dyDescent="0.25">
      <c r="A1890" s="6">
        <v>38545</v>
      </c>
      <c r="B1890">
        <v>7.1447999999999998E-4</v>
      </c>
    </row>
    <row r="1891" spans="1:2" x14ac:dyDescent="0.25">
      <c r="A1891" s="6">
        <v>38546</v>
      </c>
      <c r="B1891">
        <v>7.1447999999999998E-4</v>
      </c>
    </row>
    <row r="1892" spans="1:2" x14ac:dyDescent="0.25">
      <c r="A1892" s="6">
        <v>38547</v>
      </c>
      <c r="B1892">
        <v>7.1447999999999998E-4</v>
      </c>
    </row>
    <row r="1893" spans="1:2" x14ac:dyDescent="0.25">
      <c r="A1893" s="6">
        <v>38548</v>
      </c>
      <c r="B1893">
        <v>7.1481000000000008E-4</v>
      </c>
    </row>
    <row r="1894" spans="1:2" x14ac:dyDescent="0.25">
      <c r="A1894" s="6">
        <v>38551</v>
      </c>
      <c r="B1894">
        <v>7.1447999999999998E-4</v>
      </c>
    </row>
    <row r="1895" spans="1:2" x14ac:dyDescent="0.25">
      <c r="A1895" s="6">
        <v>38552</v>
      </c>
      <c r="B1895">
        <v>7.1447999999999998E-4</v>
      </c>
    </row>
    <row r="1896" spans="1:2" x14ac:dyDescent="0.25">
      <c r="A1896" s="6">
        <v>38553</v>
      </c>
      <c r="B1896">
        <v>7.1447999999999998E-4</v>
      </c>
    </row>
    <row r="1897" spans="1:2" x14ac:dyDescent="0.25">
      <c r="A1897" s="6">
        <v>38554</v>
      </c>
      <c r="B1897">
        <v>7.1447999999999998E-4</v>
      </c>
    </row>
    <row r="1898" spans="1:2" x14ac:dyDescent="0.25">
      <c r="A1898" s="6">
        <v>38555</v>
      </c>
      <c r="B1898">
        <v>7.1447999999999998E-4</v>
      </c>
    </row>
    <row r="1899" spans="1:2" x14ac:dyDescent="0.25">
      <c r="A1899" s="6">
        <v>38558</v>
      </c>
      <c r="B1899">
        <v>7.1447999999999998E-4</v>
      </c>
    </row>
    <row r="1900" spans="1:2" x14ac:dyDescent="0.25">
      <c r="A1900" s="6">
        <v>38559</v>
      </c>
      <c r="B1900">
        <v>7.1447999999999998E-4</v>
      </c>
    </row>
    <row r="1901" spans="1:2" x14ac:dyDescent="0.25">
      <c r="A1901" s="6">
        <v>38560</v>
      </c>
      <c r="B1901">
        <v>7.1447999999999998E-4</v>
      </c>
    </row>
    <row r="1902" spans="1:2" x14ac:dyDescent="0.25">
      <c r="A1902" s="6">
        <v>38561</v>
      </c>
      <c r="B1902">
        <v>7.1481000000000008E-4</v>
      </c>
    </row>
    <row r="1903" spans="1:2" x14ac:dyDescent="0.25">
      <c r="A1903" s="6">
        <v>38562</v>
      </c>
      <c r="B1903">
        <v>7.151499999999999E-4</v>
      </c>
    </row>
    <row r="1904" spans="1:2" x14ac:dyDescent="0.25">
      <c r="A1904" s="6">
        <v>38565</v>
      </c>
      <c r="B1904">
        <v>7.151499999999999E-4</v>
      </c>
    </row>
    <row r="1905" spans="1:2" x14ac:dyDescent="0.25">
      <c r="A1905" s="6">
        <v>38566</v>
      </c>
      <c r="B1905">
        <v>7.1548E-4</v>
      </c>
    </row>
    <row r="1906" spans="1:2" x14ac:dyDescent="0.25">
      <c r="A1906" s="6">
        <v>38567</v>
      </c>
      <c r="B1906">
        <v>7.1548E-4</v>
      </c>
    </row>
    <row r="1907" spans="1:2" x14ac:dyDescent="0.25">
      <c r="A1907" s="6">
        <v>38568</v>
      </c>
      <c r="B1907">
        <v>7.158100000000001E-4</v>
      </c>
    </row>
    <row r="1908" spans="1:2" x14ac:dyDescent="0.25">
      <c r="A1908" s="6">
        <v>38569</v>
      </c>
      <c r="B1908">
        <v>7.158100000000001E-4</v>
      </c>
    </row>
    <row r="1909" spans="1:2" x14ac:dyDescent="0.25">
      <c r="A1909" s="6">
        <v>38572</v>
      </c>
      <c r="B1909">
        <v>7.158100000000001E-4</v>
      </c>
    </row>
    <row r="1910" spans="1:2" x14ac:dyDescent="0.25">
      <c r="A1910" s="6">
        <v>38573</v>
      </c>
      <c r="B1910">
        <v>7.158100000000001E-4</v>
      </c>
    </row>
    <row r="1911" spans="1:2" x14ac:dyDescent="0.25">
      <c r="A1911" s="6">
        <v>38574</v>
      </c>
      <c r="B1911">
        <v>7.158100000000001E-4</v>
      </c>
    </row>
    <row r="1912" spans="1:2" x14ac:dyDescent="0.25">
      <c r="A1912" s="6">
        <v>38575</v>
      </c>
      <c r="B1912">
        <v>7.158100000000001E-4</v>
      </c>
    </row>
    <row r="1913" spans="1:2" x14ac:dyDescent="0.25">
      <c r="A1913" s="6">
        <v>38576</v>
      </c>
      <c r="B1913">
        <v>7.158100000000001E-4</v>
      </c>
    </row>
    <row r="1914" spans="1:2" x14ac:dyDescent="0.25">
      <c r="A1914" s="6">
        <v>38579</v>
      </c>
      <c r="B1914">
        <v>7.158100000000001E-4</v>
      </c>
    </row>
    <row r="1915" spans="1:2" x14ac:dyDescent="0.25">
      <c r="A1915" s="6">
        <v>38580</v>
      </c>
      <c r="B1915">
        <v>7.1613999999999998E-4</v>
      </c>
    </row>
    <row r="1916" spans="1:2" x14ac:dyDescent="0.25">
      <c r="A1916" s="6">
        <v>38581</v>
      </c>
      <c r="B1916">
        <v>7.1548E-4</v>
      </c>
    </row>
    <row r="1917" spans="1:2" x14ac:dyDescent="0.25">
      <c r="A1917" s="6">
        <v>38582</v>
      </c>
      <c r="B1917">
        <v>7.151499999999999E-4</v>
      </c>
    </row>
    <row r="1918" spans="1:2" x14ac:dyDescent="0.25">
      <c r="A1918" s="6">
        <v>38583</v>
      </c>
      <c r="B1918">
        <v>7.151499999999999E-4</v>
      </c>
    </row>
    <row r="1919" spans="1:2" x14ac:dyDescent="0.25">
      <c r="A1919" s="6">
        <v>38586</v>
      </c>
      <c r="B1919">
        <v>7.151499999999999E-4</v>
      </c>
    </row>
    <row r="1920" spans="1:2" x14ac:dyDescent="0.25">
      <c r="A1920" s="6">
        <v>38587</v>
      </c>
      <c r="B1920">
        <v>7.151499999999999E-4</v>
      </c>
    </row>
    <row r="1921" spans="1:2" x14ac:dyDescent="0.25">
      <c r="A1921" s="6">
        <v>38588</v>
      </c>
      <c r="B1921">
        <v>7.151499999999999E-4</v>
      </c>
    </row>
    <row r="1922" spans="1:2" x14ac:dyDescent="0.25">
      <c r="A1922" s="6">
        <v>38589</v>
      </c>
      <c r="B1922">
        <v>7.151499999999999E-4</v>
      </c>
    </row>
    <row r="1923" spans="1:2" x14ac:dyDescent="0.25">
      <c r="A1923" s="6">
        <v>38590</v>
      </c>
      <c r="B1923">
        <v>7.151499999999999E-4</v>
      </c>
    </row>
    <row r="1924" spans="1:2" x14ac:dyDescent="0.25">
      <c r="A1924" s="6">
        <v>38593</v>
      </c>
      <c r="B1924">
        <v>7.1481000000000008E-4</v>
      </c>
    </row>
    <row r="1925" spans="1:2" x14ac:dyDescent="0.25">
      <c r="A1925" s="6">
        <v>38594</v>
      </c>
      <c r="B1925">
        <v>7.1481000000000008E-4</v>
      </c>
    </row>
    <row r="1926" spans="1:2" x14ac:dyDescent="0.25">
      <c r="A1926" s="6">
        <v>38595</v>
      </c>
      <c r="B1926">
        <v>7.1481000000000008E-4</v>
      </c>
    </row>
    <row r="1927" spans="1:2" x14ac:dyDescent="0.25">
      <c r="A1927" s="6">
        <v>38596</v>
      </c>
      <c r="B1927">
        <v>7.151499999999999E-4</v>
      </c>
    </row>
    <row r="1928" spans="1:2" x14ac:dyDescent="0.25">
      <c r="A1928" s="6">
        <v>38597</v>
      </c>
      <c r="B1928">
        <v>7.1481000000000008E-4</v>
      </c>
    </row>
    <row r="1929" spans="1:2" x14ac:dyDescent="0.25">
      <c r="A1929" s="6">
        <v>38600</v>
      </c>
      <c r="B1929">
        <v>7.1481000000000008E-4</v>
      </c>
    </row>
    <row r="1930" spans="1:2" x14ac:dyDescent="0.25">
      <c r="A1930" s="6">
        <v>38601</v>
      </c>
      <c r="B1930">
        <v>7.151499999999999E-4</v>
      </c>
    </row>
    <row r="1931" spans="1:2" x14ac:dyDescent="0.25">
      <c r="A1931" s="6">
        <v>38603</v>
      </c>
      <c r="B1931">
        <v>7.151499999999999E-4</v>
      </c>
    </row>
    <row r="1932" spans="1:2" x14ac:dyDescent="0.25">
      <c r="A1932" s="6">
        <v>38604</v>
      </c>
      <c r="B1932">
        <v>7.151499999999999E-4</v>
      </c>
    </row>
    <row r="1933" spans="1:2" x14ac:dyDescent="0.25">
      <c r="A1933" s="6">
        <v>38607</v>
      </c>
      <c r="B1933">
        <v>7.151499999999999E-4</v>
      </c>
    </row>
    <row r="1934" spans="1:2" x14ac:dyDescent="0.25">
      <c r="A1934" s="6">
        <v>38608</v>
      </c>
      <c r="B1934">
        <v>7.151499999999999E-4</v>
      </c>
    </row>
    <row r="1935" spans="1:2" x14ac:dyDescent="0.25">
      <c r="A1935" s="6">
        <v>38609</v>
      </c>
      <c r="B1935">
        <v>7.151499999999999E-4</v>
      </c>
    </row>
    <row r="1936" spans="1:2" x14ac:dyDescent="0.25">
      <c r="A1936" s="6">
        <v>38610</v>
      </c>
      <c r="B1936">
        <v>7.0684999999999997E-4</v>
      </c>
    </row>
    <row r="1937" spans="1:2" x14ac:dyDescent="0.25">
      <c r="A1937" s="6">
        <v>38611</v>
      </c>
      <c r="B1937">
        <v>7.0718000000000007E-4</v>
      </c>
    </row>
    <row r="1938" spans="1:2" x14ac:dyDescent="0.25">
      <c r="A1938" s="6">
        <v>38614</v>
      </c>
      <c r="B1938">
        <v>7.0750999999999995E-4</v>
      </c>
    </row>
    <row r="1939" spans="1:2" x14ac:dyDescent="0.25">
      <c r="A1939" s="6">
        <v>38615</v>
      </c>
      <c r="B1939">
        <v>7.0750999999999995E-4</v>
      </c>
    </row>
    <row r="1940" spans="1:2" x14ac:dyDescent="0.25">
      <c r="A1940" s="6">
        <v>38616</v>
      </c>
      <c r="B1940">
        <v>7.0718000000000007E-4</v>
      </c>
    </row>
    <row r="1941" spans="1:2" x14ac:dyDescent="0.25">
      <c r="A1941" s="6">
        <v>38617</v>
      </c>
      <c r="B1941">
        <v>7.0750999999999995E-4</v>
      </c>
    </row>
    <row r="1942" spans="1:2" x14ac:dyDescent="0.25">
      <c r="A1942" s="6">
        <v>38618</v>
      </c>
      <c r="B1942">
        <v>7.0718000000000007E-4</v>
      </c>
    </row>
    <row r="1943" spans="1:2" x14ac:dyDescent="0.25">
      <c r="A1943" s="6">
        <v>38621</v>
      </c>
      <c r="B1943">
        <v>7.0718000000000007E-4</v>
      </c>
    </row>
    <row r="1944" spans="1:2" x14ac:dyDescent="0.25">
      <c r="A1944" s="6">
        <v>38622</v>
      </c>
      <c r="B1944">
        <v>7.0718000000000007E-4</v>
      </c>
    </row>
    <row r="1945" spans="1:2" x14ac:dyDescent="0.25">
      <c r="A1945" s="6">
        <v>38623</v>
      </c>
      <c r="B1945">
        <v>7.0783999999999994E-4</v>
      </c>
    </row>
    <row r="1946" spans="1:2" x14ac:dyDescent="0.25">
      <c r="A1946" s="6">
        <v>38624</v>
      </c>
      <c r="B1946">
        <v>7.0783999999999994E-4</v>
      </c>
    </row>
    <row r="1947" spans="1:2" x14ac:dyDescent="0.25">
      <c r="A1947" s="6">
        <v>38625</v>
      </c>
      <c r="B1947">
        <v>7.0818000000000009E-4</v>
      </c>
    </row>
    <row r="1948" spans="1:2" x14ac:dyDescent="0.25">
      <c r="A1948" s="6">
        <v>38628</v>
      </c>
      <c r="B1948">
        <v>7.0651000000000004E-4</v>
      </c>
    </row>
    <row r="1949" spans="1:2" x14ac:dyDescent="0.25">
      <c r="A1949" s="6">
        <v>38629</v>
      </c>
      <c r="B1949">
        <v>7.0584999999999995E-4</v>
      </c>
    </row>
    <row r="1950" spans="1:2" x14ac:dyDescent="0.25">
      <c r="A1950" s="6">
        <v>38630</v>
      </c>
      <c r="B1950">
        <v>7.0552000000000006E-4</v>
      </c>
    </row>
    <row r="1951" spans="1:2" x14ac:dyDescent="0.25">
      <c r="A1951" s="6">
        <v>38631</v>
      </c>
      <c r="B1951">
        <v>7.0552000000000006E-4</v>
      </c>
    </row>
    <row r="1952" spans="1:2" x14ac:dyDescent="0.25">
      <c r="A1952" s="6">
        <v>38632</v>
      </c>
      <c r="B1952">
        <v>7.0552000000000006E-4</v>
      </c>
    </row>
    <row r="1953" spans="1:2" x14ac:dyDescent="0.25">
      <c r="A1953" s="6">
        <v>38635</v>
      </c>
      <c r="B1953">
        <v>7.0552000000000006E-4</v>
      </c>
    </row>
    <row r="1954" spans="1:2" x14ac:dyDescent="0.25">
      <c r="A1954" s="6">
        <v>38636</v>
      </c>
      <c r="B1954">
        <v>7.0552000000000006E-4</v>
      </c>
    </row>
    <row r="1955" spans="1:2" x14ac:dyDescent="0.25">
      <c r="A1955" s="6">
        <v>38638</v>
      </c>
      <c r="B1955">
        <v>7.0552000000000006E-4</v>
      </c>
    </row>
    <row r="1956" spans="1:2" x14ac:dyDescent="0.25">
      <c r="A1956" s="6">
        <v>38639</v>
      </c>
      <c r="B1956">
        <v>7.0552000000000006E-4</v>
      </c>
    </row>
    <row r="1957" spans="1:2" x14ac:dyDescent="0.25">
      <c r="A1957" s="6">
        <v>38642</v>
      </c>
      <c r="B1957">
        <v>7.0552000000000006E-4</v>
      </c>
    </row>
    <row r="1958" spans="1:2" x14ac:dyDescent="0.25">
      <c r="A1958" s="6">
        <v>38643</v>
      </c>
      <c r="B1958">
        <v>7.0552000000000006E-4</v>
      </c>
    </row>
    <row r="1959" spans="1:2" x14ac:dyDescent="0.25">
      <c r="A1959" s="6">
        <v>38644</v>
      </c>
      <c r="B1959">
        <v>7.0552000000000006E-4</v>
      </c>
    </row>
    <row r="1960" spans="1:2" x14ac:dyDescent="0.25">
      <c r="A1960" s="6">
        <v>38645</v>
      </c>
      <c r="B1960">
        <v>6.8886000000000001E-4</v>
      </c>
    </row>
    <row r="1961" spans="1:2" x14ac:dyDescent="0.25">
      <c r="A1961" s="6">
        <v>38646</v>
      </c>
      <c r="B1961">
        <v>6.8886000000000001E-4</v>
      </c>
    </row>
    <row r="1962" spans="1:2" x14ac:dyDescent="0.25">
      <c r="A1962" s="6">
        <v>38649</v>
      </c>
      <c r="B1962">
        <v>6.8886000000000001E-4</v>
      </c>
    </row>
    <row r="1963" spans="1:2" x14ac:dyDescent="0.25">
      <c r="A1963" s="6">
        <v>38650</v>
      </c>
      <c r="B1963">
        <v>6.8886000000000001E-4</v>
      </c>
    </row>
    <row r="1964" spans="1:2" x14ac:dyDescent="0.25">
      <c r="A1964" s="6">
        <v>38651</v>
      </c>
      <c r="B1964">
        <v>6.8886000000000001E-4</v>
      </c>
    </row>
    <row r="1965" spans="1:2" x14ac:dyDescent="0.25">
      <c r="A1965" s="6">
        <v>38652</v>
      </c>
      <c r="B1965">
        <v>6.8886000000000001E-4</v>
      </c>
    </row>
    <row r="1966" spans="1:2" x14ac:dyDescent="0.25">
      <c r="A1966" s="6">
        <v>38653</v>
      </c>
      <c r="B1966">
        <v>6.8886000000000001E-4</v>
      </c>
    </row>
    <row r="1967" spans="1:2" x14ac:dyDescent="0.25">
      <c r="A1967" s="6">
        <v>38656</v>
      </c>
      <c r="B1967">
        <v>6.8886000000000001E-4</v>
      </c>
    </row>
    <row r="1968" spans="1:2" x14ac:dyDescent="0.25">
      <c r="A1968" s="6">
        <v>38657</v>
      </c>
      <c r="B1968">
        <v>6.8886000000000001E-4</v>
      </c>
    </row>
    <row r="1969" spans="1:2" x14ac:dyDescent="0.25">
      <c r="A1969" s="6">
        <v>38659</v>
      </c>
      <c r="B1969">
        <v>6.8886000000000001E-4</v>
      </c>
    </row>
    <row r="1970" spans="1:2" x14ac:dyDescent="0.25">
      <c r="A1970" s="6">
        <v>38660</v>
      </c>
      <c r="B1970">
        <v>6.891899999999999E-4</v>
      </c>
    </row>
    <row r="1971" spans="1:2" x14ac:dyDescent="0.25">
      <c r="A1971" s="6">
        <v>38663</v>
      </c>
      <c r="B1971">
        <v>6.8953000000000005E-4</v>
      </c>
    </row>
    <row r="1972" spans="1:2" x14ac:dyDescent="0.25">
      <c r="A1972" s="6">
        <v>38664</v>
      </c>
      <c r="B1972">
        <v>6.9019999999999997E-4</v>
      </c>
    </row>
    <row r="1973" spans="1:2" x14ac:dyDescent="0.25">
      <c r="A1973" s="6">
        <v>38665</v>
      </c>
      <c r="B1973">
        <v>6.9085999999999996E-4</v>
      </c>
    </row>
    <row r="1974" spans="1:2" x14ac:dyDescent="0.25">
      <c r="A1974" s="6">
        <v>38666</v>
      </c>
      <c r="B1974">
        <v>6.912E-4</v>
      </c>
    </row>
    <row r="1975" spans="1:2" x14ac:dyDescent="0.25">
      <c r="A1975" s="6">
        <v>38667</v>
      </c>
      <c r="B1975">
        <v>6.915300000000001E-4</v>
      </c>
    </row>
    <row r="1976" spans="1:2" x14ac:dyDescent="0.25">
      <c r="A1976" s="6">
        <v>38670</v>
      </c>
      <c r="B1976">
        <v>6.915300000000001E-4</v>
      </c>
    </row>
    <row r="1977" spans="1:2" x14ac:dyDescent="0.25">
      <c r="A1977" s="6">
        <v>38672</v>
      </c>
      <c r="B1977">
        <v>6.912E-4</v>
      </c>
    </row>
    <row r="1978" spans="1:2" x14ac:dyDescent="0.25">
      <c r="A1978" s="6">
        <v>38673</v>
      </c>
      <c r="B1978">
        <v>6.9085999999999996E-4</v>
      </c>
    </row>
    <row r="1979" spans="1:2" x14ac:dyDescent="0.25">
      <c r="A1979" s="6">
        <v>38674</v>
      </c>
      <c r="B1979">
        <v>6.9053000000000007E-4</v>
      </c>
    </row>
    <row r="1980" spans="1:2" x14ac:dyDescent="0.25">
      <c r="A1980" s="6">
        <v>38677</v>
      </c>
      <c r="B1980">
        <v>6.8986000000000004E-4</v>
      </c>
    </row>
    <row r="1981" spans="1:2" x14ac:dyDescent="0.25">
      <c r="A1981" s="6">
        <v>38678</v>
      </c>
      <c r="B1981">
        <v>6.8986000000000004E-4</v>
      </c>
    </row>
    <row r="1982" spans="1:2" x14ac:dyDescent="0.25">
      <c r="A1982" s="6">
        <v>38679</v>
      </c>
      <c r="B1982">
        <v>6.891899999999999E-4</v>
      </c>
    </row>
    <row r="1983" spans="1:2" x14ac:dyDescent="0.25">
      <c r="A1983" s="6">
        <v>38680</v>
      </c>
      <c r="B1983">
        <v>6.7246999999999999E-4</v>
      </c>
    </row>
    <row r="1984" spans="1:2" x14ac:dyDescent="0.25">
      <c r="A1984" s="6">
        <v>38681</v>
      </c>
      <c r="B1984">
        <v>6.7280000000000009E-4</v>
      </c>
    </row>
    <row r="1985" spans="1:2" x14ac:dyDescent="0.25">
      <c r="A1985" s="6">
        <v>38684</v>
      </c>
      <c r="B1985">
        <v>6.7347000000000001E-4</v>
      </c>
    </row>
    <row r="1986" spans="1:2" x14ac:dyDescent="0.25">
      <c r="A1986" s="6">
        <v>38685</v>
      </c>
      <c r="B1986">
        <v>6.7380999999999995E-4</v>
      </c>
    </row>
    <row r="1987" spans="1:2" x14ac:dyDescent="0.25">
      <c r="A1987" s="6">
        <v>38686</v>
      </c>
      <c r="B1987">
        <v>6.7480999999999997E-4</v>
      </c>
    </row>
    <row r="1988" spans="1:2" x14ac:dyDescent="0.25">
      <c r="A1988" s="6">
        <v>38687</v>
      </c>
      <c r="B1988">
        <v>6.7447999999999998E-4</v>
      </c>
    </row>
    <row r="1989" spans="1:2" x14ac:dyDescent="0.25">
      <c r="A1989" s="6">
        <v>38688</v>
      </c>
      <c r="B1989">
        <v>6.7380999999999995E-4</v>
      </c>
    </row>
    <row r="1990" spans="1:2" x14ac:dyDescent="0.25">
      <c r="A1990" s="6">
        <v>38691</v>
      </c>
      <c r="B1990">
        <v>6.7347000000000001E-4</v>
      </c>
    </row>
    <row r="1991" spans="1:2" x14ac:dyDescent="0.25">
      <c r="A1991" s="6">
        <v>38692</v>
      </c>
      <c r="B1991">
        <v>6.7314000000000002E-4</v>
      </c>
    </row>
    <row r="1992" spans="1:2" x14ac:dyDescent="0.25">
      <c r="A1992" s="6">
        <v>38693</v>
      </c>
      <c r="B1992">
        <v>6.7314000000000002E-4</v>
      </c>
    </row>
    <row r="1993" spans="1:2" x14ac:dyDescent="0.25">
      <c r="A1993" s="6">
        <v>38694</v>
      </c>
      <c r="B1993">
        <v>6.7314000000000002E-4</v>
      </c>
    </row>
    <row r="1994" spans="1:2" x14ac:dyDescent="0.25">
      <c r="A1994" s="6">
        <v>38695</v>
      </c>
      <c r="B1994">
        <v>6.7314000000000002E-4</v>
      </c>
    </row>
    <row r="1995" spans="1:2" x14ac:dyDescent="0.25">
      <c r="A1995" s="6">
        <v>38698</v>
      </c>
      <c r="B1995">
        <v>6.7314000000000002E-4</v>
      </c>
    </row>
    <row r="1996" spans="1:2" x14ac:dyDescent="0.25">
      <c r="A1996" s="6">
        <v>38699</v>
      </c>
      <c r="B1996">
        <v>6.7314000000000002E-4</v>
      </c>
    </row>
    <row r="1997" spans="1:2" x14ac:dyDescent="0.25">
      <c r="A1997" s="6">
        <v>38700</v>
      </c>
      <c r="B1997">
        <v>6.7314000000000002E-4</v>
      </c>
    </row>
    <row r="1998" spans="1:2" x14ac:dyDescent="0.25">
      <c r="A1998" s="6">
        <v>38701</v>
      </c>
      <c r="B1998">
        <v>6.5701999999999991E-4</v>
      </c>
    </row>
    <row r="1999" spans="1:2" x14ac:dyDescent="0.25">
      <c r="A1999" s="6">
        <v>38702</v>
      </c>
      <c r="B1999">
        <v>6.5802999999999999E-4</v>
      </c>
    </row>
    <row r="2000" spans="1:2" x14ac:dyDescent="0.25">
      <c r="A2000" s="6">
        <v>38705</v>
      </c>
      <c r="B2000">
        <v>6.5836000000000009E-4</v>
      </c>
    </row>
    <row r="2001" spans="1:2" x14ac:dyDescent="0.25">
      <c r="A2001" s="6">
        <v>38706</v>
      </c>
      <c r="B2001">
        <v>6.5836000000000009E-4</v>
      </c>
    </row>
    <row r="2002" spans="1:2" x14ac:dyDescent="0.25">
      <c r="A2002" s="6">
        <v>38707</v>
      </c>
      <c r="B2002">
        <v>6.5836000000000009E-4</v>
      </c>
    </row>
    <row r="2003" spans="1:2" x14ac:dyDescent="0.25">
      <c r="A2003" s="6">
        <v>38708</v>
      </c>
      <c r="B2003">
        <v>6.5836000000000009E-4</v>
      </c>
    </row>
    <row r="2004" spans="1:2" x14ac:dyDescent="0.25">
      <c r="A2004" s="6">
        <v>38709</v>
      </c>
      <c r="B2004">
        <v>6.5836000000000009E-4</v>
      </c>
    </row>
    <row r="2005" spans="1:2" x14ac:dyDescent="0.25">
      <c r="A2005" s="6">
        <v>38712</v>
      </c>
      <c r="B2005">
        <v>6.5836000000000009E-4</v>
      </c>
    </row>
    <row r="2006" spans="1:2" x14ac:dyDescent="0.25">
      <c r="A2006" s="6">
        <v>38713</v>
      </c>
      <c r="B2006">
        <v>6.5836000000000009E-4</v>
      </c>
    </row>
    <row r="2007" spans="1:2" x14ac:dyDescent="0.25">
      <c r="A2007" s="6">
        <v>38714</v>
      </c>
      <c r="B2007">
        <v>6.5836000000000009E-4</v>
      </c>
    </row>
    <row r="2008" spans="1:2" x14ac:dyDescent="0.25">
      <c r="A2008" s="6">
        <v>38715</v>
      </c>
      <c r="B2008">
        <v>6.5870000000000002E-4</v>
      </c>
    </row>
    <row r="2009" spans="1:2" x14ac:dyDescent="0.25">
      <c r="A2009" s="6">
        <v>38716</v>
      </c>
      <c r="B2009">
        <v>6.5870000000000002E-4</v>
      </c>
    </row>
    <row r="2010" spans="1:2" x14ac:dyDescent="0.25">
      <c r="A2010" s="6">
        <v>38719</v>
      </c>
      <c r="B2010">
        <v>6.5634999999999999E-4</v>
      </c>
    </row>
    <row r="2011" spans="1:2" x14ac:dyDescent="0.25">
      <c r="A2011" s="6">
        <v>38720</v>
      </c>
      <c r="B2011">
        <v>6.5634999999999999E-4</v>
      </c>
    </row>
    <row r="2012" spans="1:2" x14ac:dyDescent="0.25">
      <c r="A2012" s="6">
        <v>38721</v>
      </c>
      <c r="B2012">
        <v>6.5601000000000006E-4</v>
      </c>
    </row>
    <row r="2013" spans="1:2" x14ac:dyDescent="0.25">
      <c r="A2013" s="6">
        <v>38722</v>
      </c>
      <c r="B2013">
        <v>6.5567000000000002E-4</v>
      </c>
    </row>
    <row r="2014" spans="1:2" x14ac:dyDescent="0.25">
      <c r="A2014" s="6">
        <v>38723</v>
      </c>
      <c r="B2014">
        <v>6.5533999999999992E-4</v>
      </c>
    </row>
    <row r="2015" spans="1:2" x14ac:dyDescent="0.25">
      <c r="A2015" s="6">
        <v>38726</v>
      </c>
      <c r="B2015">
        <v>6.5533999999999992E-4</v>
      </c>
    </row>
    <row r="2016" spans="1:2" x14ac:dyDescent="0.25">
      <c r="A2016" s="6">
        <v>38727</v>
      </c>
      <c r="B2016">
        <v>6.5533999999999992E-4</v>
      </c>
    </row>
    <row r="2017" spans="1:2" x14ac:dyDescent="0.25">
      <c r="A2017" s="6">
        <v>38728</v>
      </c>
      <c r="B2017">
        <v>6.5533999999999992E-4</v>
      </c>
    </row>
    <row r="2018" spans="1:2" x14ac:dyDescent="0.25">
      <c r="A2018" s="6">
        <v>38729</v>
      </c>
      <c r="B2018">
        <v>6.5533999999999992E-4</v>
      </c>
    </row>
    <row r="2019" spans="1:2" x14ac:dyDescent="0.25">
      <c r="A2019" s="6">
        <v>38730</v>
      </c>
      <c r="B2019">
        <v>6.5533999999999992E-4</v>
      </c>
    </row>
    <row r="2020" spans="1:2" x14ac:dyDescent="0.25">
      <c r="A2020" s="6">
        <v>38733</v>
      </c>
      <c r="B2020">
        <v>6.5533999999999992E-4</v>
      </c>
    </row>
    <row r="2021" spans="1:2" x14ac:dyDescent="0.25">
      <c r="A2021" s="6">
        <v>38734</v>
      </c>
      <c r="B2021">
        <v>6.5533999999999992E-4</v>
      </c>
    </row>
    <row r="2022" spans="1:2" x14ac:dyDescent="0.25">
      <c r="A2022" s="6">
        <v>38735</v>
      </c>
      <c r="B2022">
        <v>6.5533999999999992E-4</v>
      </c>
    </row>
    <row r="2023" spans="1:2" x14ac:dyDescent="0.25">
      <c r="A2023" s="6">
        <v>38736</v>
      </c>
      <c r="B2023">
        <v>6.3000999999999997E-4</v>
      </c>
    </row>
    <row r="2024" spans="1:2" x14ac:dyDescent="0.25">
      <c r="A2024" s="6">
        <v>38737</v>
      </c>
      <c r="B2024">
        <v>6.3000999999999997E-4</v>
      </c>
    </row>
    <row r="2025" spans="1:2" x14ac:dyDescent="0.25">
      <c r="A2025" s="6">
        <v>38740</v>
      </c>
      <c r="B2025">
        <v>6.3000999999999997E-4</v>
      </c>
    </row>
    <row r="2026" spans="1:2" x14ac:dyDescent="0.25">
      <c r="A2026" s="6">
        <v>38741</v>
      </c>
      <c r="B2026">
        <v>6.3000999999999997E-4</v>
      </c>
    </row>
    <row r="2027" spans="1:2" x14ac:dyDescent="0.25">
      <c r="A2027" s="6">
        <v>38742</v>
      </c>
      <c r="B2027">
        <v>6.303499999999999E-4</v>
      </c>
    </row>
    <row r="2028" spans="1:2" x14ac:dyDescent="0.25">
      <c r="A2028" s="6">
        <v>38743</v>
      </c>
      <c r="B2028">
        <v>6.3068E-4</v>
      </c>
    </row>
    <row r="2029" spans="1:2" x14ac:dyDescent="0.25">
      <c r="A2029" s="6">
        <v>38744</v>
      </c>
      <c r="B2029">
        <v>6.3102000000000004E-4</v>
      </c>
    </row>
    <row r="2030" spans="1:2" x14ac:dyDescent="0.25">
      <c r="A2030" s="6">
        <v>38747</v>
      </c>
      <c r="B2030">
        <v>6.3102000000000004E-4</v>
      </c>
    </row>
    <row r="2031" spans="1:2" x14ac:dyDescent="0.25">
      <c r="A2031" s="6">
        <v>38748</v>
      </c>
      <c r="B2031">
        <v>6.3102000000000004E-4</v>
      </c>
    </row>
    <row r="2032" spans="1:2" x14ac:dyDescent="0.25">
      <c r="A2032" s="6">
        <v>38749</v>
      </c>
      <c r="B2032">
        <v>6.3102000000000004E-4</v>
      </c>
    </row>
    <row r="2033" spans="1:2" x14ac:dyDescent="0.25">
      <c r="A2033" s="6">
        <v>38750</v>
      </c>
      <c r="B2033">
        <v>6.3135999999999997E-4</v>
      </c>
    </row>
    <row r="2034" spans="1:2" x14ac:dyDescent="0.25">
      <c r="A2034" s="6">
        <v>38751</v>
      </c>
      <c r="B2034">
        <v>6.3203999999999995E-4</v>
      </c>
    </row>
    <row r="2035" spans="1:2" x14ac:dyDescent="0.25">
      <c r="A2035" s="6">
        <v>38754</v>
      </c>
      <c r="B2035">
        <v>6.3237999999999999E-4</v>
      </c>
    </row>
    <row r="2036" spans="1:2" x14ac:dyDescent="0.25">
      <c r="A2036" s="6">
        <v>38755</v>
      </c>
      <c r="B2036">
        <v>6.3271999999999992E-4</v>
      </c>
    </row>
    <row r="2037" spans="1:2" x14ac:dyDescent="0.25">
      <c r="A2037" s="6">
        <v>38756</v>
      </c>
      <c r="B2037">
        <v>6.3305000000000002E-4</v>
      </c>
    </row>
    <row r="2038" spans="1:2" x14ac:dyDescent="0.25">
      <c r="A2038" s="6">
        <v>38757</v>
      </c>
      <c r="B2038">
        <v>6.3305000000000002E-4</v>
      </c>
    </row>
    <row r="2039" spans="1:2" x14ac:dyDescent="0.25">
      <c r="A2039" s="6">
        <v>38758</v>
      </c>
      <c r="B2039">
        <v>6.3305000000000002E-4</v>
      </c>
    </row>
    <row r="2040" spans="1:2" x14ac:dyDescent="0.25">
      <c r="A2040" s="6">
        <v>38761</v>
      </c>
      <c r="B2040">
        <v>6.3305000000000002E-4</v>
      </c>
    </row>
    <row r="2041" spans="1:2" x14ac:dyDescent="0.25">
      <c r="A2041" s="6">
        <v>38762</v>
      </c>
      <c r="B2041">
        <v>6.3305000000000002E-4</v>
      </c>
    </row>
    <row r="2042" spans="1:2" x14ac:dyDescent="0.25">
      <c r="A2042" s="6">
        <v>38763</v>
      </c>
      <c r="B2042">
        <v>6.3305000000000002E-4</v>
      </c>
    </row>
    <row r="2043" spans="1:2" x14ac:dyDescent="0.25">
      <c r="A2043" s="6">
        <v>38764</v>
      </c>
      <c r="B2043">
        <v>6.3305000000000002E-4</v>
      </c>
    </row>
    <row r="2044" spans="1:2" x14ac:dyDescent="0.25">
      <c r="A2044" s="6">
        <v>38765</v>
      </c>
      <c r="B2044">
        <v>6.3305000000000002E-4</v>
      </c>
    </row>
    <row r="2045" spans="1:2" x14ac:dyDescent="0.25">
      <c r="A2045" s="6">
        <v>38768</v>
      </c>
      <c r="B2045">
        <v>6.3305000000000002E-4</v>
      </c>
    </row>
    <row r="2046" spans="1:2" x14ac:dyDescent="0.25">
      <c r="A2046" s="6">
        <v>38769</v>
      </c>
      <c r="B2046">
        <v>6.3305000000000002E-4</v>
      </c>
    </row>
    <row r="2047" spans="1:2" x14ac:dyDescent="0.25">
      <c r="A2047" s="6">
        <v>38770</v>
      </c>
      <c r="B2047">
        <v>6.3305000000000002E-4</v>
      </c>
    </row>
    <row r="2048" spans="1:2" x14ac:dyDescent="0.25">
      <c r="A2048" s="6">
        <v>38771</v>
      </c>
      <c r="B2048">
        <v>6.3305000000000002E-4</v>
      </c>
    </row>
    <row r="2049" spans="1:2" x14ac:dyDescent="0.25">
      <c r="A2049" s="6">
        <v>38772</v>
      </c>
      <c r="B2049">
        <v>6.3305000000000002E-4</v>
      </c>
    </row>
    <row r="2050" spans="1:2" x14ac:dyDescent="0.25">
      <c r="A2050" s="6">
        <v>38777</v>
      </c>
      <c r="B2050">
        <v>6.3305000000000002E-4</v>
      </c>
    </row>
    <row r="2051" spans="1:2" x14ac:dyDescent="0.25">
      <c r="A2051" s="6">
        <v>38778</v>
      </c>
      <c r="B2051">
        <v>6.3305000000000002E-4</v>
      </c>
    </row>
    <row r="2052" spans="1:2" x14ac:dyDescent="0.25">
      <c r="A2052" s="6">
        <v>38779</v>
      </c>
      <c r="B2052">
        <v>6.3305000000000002E-4</v>
      </c>
    </row>
    <row r="2053" spans="1:2" x14ac:dyDescent="0.25">
      <c r="A2053" s="6">
        <v>38782</v>
      </c>
      <c r="B2053">
        <v>6.3305000000000002E-4</v>
      </c>
    </row>
    <row r="2054" spans="1:2" x14ac:dyDescent="0.25">
      <c r="A2054" s="6">
        <v>38783</v>
      </c>
      <c r="B2054">
        <v>6.3305000000000002E-4</v>
      </c>
    </row>
    <row r="2055" spans="1:2" x14ac:dyDescent="0.25">
      <c r="A2055" s="6">
        <v>38784</v>
      </c>
      <c r="B2055">
        <v>6.3305000000000002E-4</v>
      </c>
    </row>
    <row r="2056" spans="1:2" x14ac:dyDescent="0.25">
      <c r="A2056" s="6">
        <v>38785</v>
      </c>
      <c r="B2056">
        <v>6.0758000000000003E-4</v>
      </c>
    </row>
    <row r="2057" spans="1:2" x14ac:dyDescent="0.25">
      <c r="A2057" s="6">
        <v>38786</v>
      </c>
      <c r="B2057">
        <v>6.0758000000000003E-4</v>
      </c>
    </row>
    <row r="2058" spans="1:2" x14ac:dyDescent="0.25">
      <c r="A2058" s="6">
        <v>38789</v>
      </c>
      <c r="B2058">
        <v>6.0758000000000003E-4</v>
      </c>
    </row>
    <row r="2059" spans="1:2" x14ac:dyDescent="0.25">
      <c r="A2059" s="6">
        <v>38790</v>
      </c>
      <c r="B2059">
        <v>6.0758000000000003E-4</v>
      </c>
    </row>
    <row r="2060" spans="1:2" x14ac:dyDescent="0.25">
      <c r="A2060" s="6">
        <v>38791</v>
      </c>
      <c r="B2060">
        <v>6.0758000000000003E-4</v>
      </c>
    </row>
    <row r="2061" spans="1:2" x14ac:dyDescent="0.25">
      <c r="A2061" s="6">
        <v>38792</v>
      </c>
      <c r="B2061">
        <v>6.0758000000000003E-4</v>
      </c>
    </row>
    <row r="2062" spans="1:2" x14ac:dyDescent="0.25">
      <c r="A2062" s="6">
        <v>38793</v>
      </c>
      <c r="B2062">
        <v>6.0758000000000003E-4</v>
      </c>
    </row>
    <row r="2063" spans="1:2" x14ac:dyDescent="0.25">
      <c r="A2063" s="6">
        <v>38796</v>
      </c>
      <c r="B2063">
        <v>6.0758000000000003E-4</v>
      </c>
    </row>
    <row r="2064" spans="1:2" x14ac:dyDescent="0.25">
      <c r="A2064" s="6">
        <v>38797</v>
      </c>
      <c r="B2064">
        <v>6.0758000000000003E-4</v>
      </c>
    </row>
    <row r="2065" spans="1:2" x14ac:dyDescent="0.25">
      <c r="A2065" s="6">
        <v>38798</v>
      </c>
      <c r="B2065">
        <v>6.0758000000000003E-4</v>
      </c>
    </row>
    <row r="2066" spans="1:2" x14ac:dyDescent="0.25">
      <c r="A2066" s="6">
        <v>38799</v>
      </c>
      <c r="B2066">
        <v>6.0758000000000003E-4</v>
      </c>
    </row>
    <row r="2067" spans="1:2" x14ac:dyDescent="0.25">
      <c r="A2067" s="6">
        <v>38800</v>
      </c>
      <c r="B2067">
        <v>6.0758000000000003E-4</v>
      </c>
    </row>
    <row r="2068" spans="1:2" x14ac:dyDescent="0.25">
      <c r="A2068" s="6">
        <v>38803</v>
      </c>
      <c r="B2068">
        <v>6.0758000000000003E-4</v>
      </c>
    </row>
    <row r="2069" spans="1:2" x14ac:dyDescent="0.25">
      <c r="A2069" s="6">
        <v>38804</v>
      </c>
      <c r="B2069">
        <v>6.0758000000000003E-4</v>
      </c>
    </row>
    <row r="2070" spans="1:2" x14ac:dyDescent="0.25">
      <c r="A2070" s="6">
        <v>38805</v>
      </c>
      <c r="B2070">
        <v>6.0758000000000003E-4</v>
      </c>
    </row>
    <row r="2071" spans="1:2" x14ac:dyDescent="0.25">
      <c r="A2071" s="6">
        <v>38806</v>
      </c>
      <c r="B2071">
        <v>6.0758000000000003E-4</v>
      </c>
    </row>
    <row r="2072" spans="1:2" x14ac:dyDescent="0.25">
      <c r="A2072" s="6">
        <v>38807</v>
      </c>
      <c r="B2072">
        <v>6.0758000000000003E-4</v>
      </c>
    </row>
    <row r="2073" spans="1:2" x14ac:dyDescent="0.25">
      <c r="A2073" s="6">
        <v>38810</v>
      </c>
      <c r="B2073">
        <v>6.0451999999999999E-4</v>
      </c>
    </row>
    <row r="2074" spans="1:2" x14ac:dyDescent="0.25">
      <c r="A2074" s="6">
        <v>38811</v>
      </c>
      <c r="B2074">
        <v>6.0451999999999999E-4</v>
      </c>
    </row>
    <row r="2075" spans="1:2" x14ac:dyDescent="0.25">
      <c r="A2075" s="6">
        <v>38812</v>
      </c>
      <c r="B2075">
        <v>6.0451999999999999E-4</v>
      </c>
    </row>
    <row r="2076" spans="1:2" x14ac:dyDescent="0.25">
      <c r="A2076" s="6">
        <v>38813</v>
      </c>
      <c r="B2076">
        <v>6.0451999999999999E-4</v>
      </c>
    </row>
    <row r="2077" spans="1:2" x14ac:dyDescent="0.25">
      <c r="A2077" s="6">
        <v>38814</v>
      </c>
      <c r="B2077">
        <v>6.0451999999999999E-4</v>
      </c>
    </row>
    <row r="2078" spans="1:2" x14ac:dyDescent="0.25">
      <c r="A2078" s="6">
        <v>38817</v>
      </c>
      <c r="B2078">
        <v>6.0451999999999999E-4</v>
      </c>
    </row>
    <row r="2079" spans="1:2" x14ac:dyDescent="0.25">
      <c r="A2079" s="6">
        <v>38818</v>
      </c>
      <c r="B2079">
        <v>6.0451999999999999E-4</v>
      </c>
    </row>
    <row r="2080" spans="1:2" x14ac:dyDescent="0.25">
      <c r="A2080" s="6">
        <v>38819</v>
      </c>
      <c r="B2080">
        <v>6.0451999999999999E-4</v>
      </c>
    </row>
    <row r="2081" spans="1:2" x14ac:dyDescent="0.25">
      <c r="A2081" s="6">
        <v>38820</v>
      </c>
      <c r="B2081">
        <v>6.0451999999999999E-4</v>
      </c>
    </row>
    <row r="2082" spans="1:2" x14ac:dyDescent="0.25">
      <c r="A2082" s="6">
        <v>38824</v>
      </c>
      <c r="B2082">
        <v>6.0451999999999999E-4</v>
      </c>
    </row>
    <row r="2083" spans="1:2" x14ac:dyDescent="0.25">
      <c r="A2083" s="6">
        <v>38825</v>
      </c>
      <c r="B2083">
        <v>6.0451999999999999E-4</v>
      </c>
    </row>
    <row r="2084" spans="1:2" x14ac:dyDescent="0.25">
      <c r="A2084" s="6">
        <v>38826</v>
      </c>
      <c r="B2084">
        <v>6.0417000000000001E-4</v>
      </c>
    </row>
    <row r="2085" spans="1:2" x14ac:dyDescent="0.25">
      <c r="A2085" s="6">
        <v>38827</v>
      </c>
      <c r="B2085">
        <v>5.7852000000000001E-4</v>
      </c>
    </row>
    <row r="2086" spans="1:2" x14ac:dyDescent="0.25">
      <c r="A2086" s="6">
        <v>38831</v>
      </c>
      <c r="B2086">
        <v>5.7817000000000003E-4</v>
      </c>
    </row>
    <row r="2087" spans="1:2" x14ac:dyDescent="0.25">
      <c r="A2087" s="6">
        <v>38832</v>
      </c>
      <c r="B2087">
        <v>5.7817000000000003E-4</v>
      </c>
    </row>
    <row r="2088" spans="1:2" x14ac:dyDescent="0.25">
      <c r="A2088" s="6">
        <v>38833</v>
      </c>
      <c r="B2088">
        <v>5.7817000000000003E-4</v>
      </c>
    </row>
    <row r="2089" spans="1:2" x14ac:dyDescent="0.25">
      <c r="A2089" s="6">
        <v>38834</v>
      </c>
      <c r="B2089">
        <v>5.7852000000000001E-4</v>
      </c>
    </row>
    <row r="2090" spans="1:2" x14ac:dyDescent="0.25">
      <c r="A2090" s="6">
        <v>38835</v>
      </c>
      <c r="B2090">
        <v>5.7886000000000005E-4</v>
      </c>
    </row>
    <row r="2091" spans="1:2" x14ac:dyDescent="0.25">
      <c r="A2091" s="6">
        <v>38839</v>
      </c>
      <c r="B2091">
        <v>5.7886000000000005E-4</v>
      </c>
    </row>
    <row r="2092" spans="1:2" x14ac:dyDescent="0.25">
      <c r="A2092" s="6">
        <v>38840</v>
      </c>
      <c r="B2092">
        <v>5.7919999999999998E-4</v>
      </c>
    </row>
    <row r="2093" spans="1:2" x14ac:dyDescent="0.25">
      <c r="A2093" s="6">
        <v>38841</v>
      </c>
      <c r="B2093">
        <v>5.7919999999999998E-4</v>
      </c>
    </row>
    <row r="2094" spans="1:2" x14ac:dyDescent="0.25">
      <c r="A2094" s="6">
        <v>38842</v>
      </c>
      <c r="B2094">
        <v>5.8126E-4</v>
      </c>
    </row>
    <row r="2095" spans="1:2" x14ac:dyDescent="0.25">
      <c r="A2095" s="6">
        <v>38845</v>
      </c>
      <c r="B2095">
        <v>5.8126E-4</v>
      </c>
    </row>
    <row r="2096" spans="1:2" x14ac:dyDescent="0.25">
      <c r="A2096" s="6">
        <v>38846</v>
      </c>
      <c r="B2096">
        <v>5.8126E-4</v>
      </c>
    </row>
    <row r="2097" spans="1:2" x14ac:dyDescent="0.25">
      <c r="A2097" s="6">
        <v>38847</v>
      </c>
      <c r="B2097">
        <v>5.7919999999999998E-4</v>
      </c>
    </row>
    <row r="2098" spans="1:2" x14ac:dyDescent="0.25">
      <c r="A2098" s="6">
        <v>38848</v>
      </c>
      <c r="B2098">
        <v>5.7886000000000005E-4</v>
      </c>
    </row>
    <row r="2099" spans="1:2" x14ac:dyDescent="0.25">
      <c r="A2099" s="6">
        <v>38849</v>
      </c>
      <c r="B2099">
        <v>5.8058000000000003E-4</v>
      </c>
    </row>
    <row r="2100" spans="1:2" x14ac:dyDescent="0.25">
      <c r="A2100" s="6">
        <v>38852</v>
      </c>
      <c r="B2100">
        <v>5.8022999999999994E-4</v>
      </c>
    </row>
    <row r="2101" spans="1:2" x14ac:dyDescent="0.25">
      <c r="A2101" s="6">
        <v>38853</v>
      </c>
      <c r="B2101">
        <v>5.8126E-4</v>
      </c>
    </row>
    <row r="2102" spans="1:2" x14ac:dyDescent="0.25">
      <c r="A2102" s="6">
        <v>38854</v>
      </c>
      <c r="B2102">
        <v>5.7817000000000003E-4</v>
      </c>
    </row>
    <row r="2103" spans="1:2" x14ac:dyDescent="0.25">
      <c r="A2103" s="6">
        <v>38855</v>
      </c>
      <c r="B2103">
        <v>5.7817000000000003E-4</v>
      </c>
    </row>
    <row r="2104" spans="1:2" x14ac:dyDescent="0.25">
      <c r="A2104" s="6">
        <v>38856</v>
      </c>
      <c r="B2104">
        <v>5.7749000000000006E-4</v>
      </c>
    </row>
    <row r="2105" spans="1:2" x14ac:dyDescent="0.25">
      <c r="A2105" s="6">
        <v>38859</v>
      </c>
      <c r="B2105">
        <v>5.7749000000000006E-4</v>
      </c>
    </row>
    <row r="2106" spans="1:2" x14ac:dyDescent="0.25">
      <c r="A2106" s="6">
        <v>38860</v>
      </c>
      <c r="B2106">
        <v>5.7782999999999999E-4</v>
      </c>
    </row>
    <row r="2107" spans="1:2" x14ac:dyDescent="0.25">
      <c r="A2107" s="6">
        <v>38861</v>
      </c>
      <c r="B2107">
        <v>5.7749000000000006E-4</v>
      </c>
    </row>
    <row r="2108" spans="1:2" x14ac:dyDescent="0.25">
      <c r="A2108" s="6">
        <v>38862</v>
      </c>
      <c r="B2108">
        <v>5.7782999999999999E-4</v>
      </c>
    </row>
    <row r="2109" spans="1:2" x14ac:dyDescent="0.25">
      <c r="A2109" s="6">
        <v>38863</v>
      </c>
      <c r="B2109">
        <v>5.7749000000000006E-4</v>
      </c>
    </row>
    <row r="2110" spans="1:2" x14ac:dyDescent="0.25">
      <c r="A2110" s="6">
        <v>38866</v>
      </c>
      <c r="B2110">
        <v>5.7782999999999999E-4</v>
      </c>
    </row>
    <row r="2111" spans="1:2" x14ac:dyDescent="0.25">
      <c r="A2111" s="6">
        <v>38867</v>
      </c>
      <c r="B2111">
        <v>5.7749000000000006E-4</v>
      </c>
    </row>
    <row r="2112" spans="1:2" x14ac:dyDescent="0.25">
      <c r="A2112" s="6">
        <v>38868</v>
      </c>
      <c r="B2112">
        <v>5.7749000000000006E-4</v>
      </c>
    </row>
    <row r="2113" spans="1:2" x14ac:dyDescent="0.25">
      <c r="A2113" s="6">
        <v>38869</v>
      </c>
      <c r="B2113">
        <v>5.6063E-4</v>
      </c>
    </row>
    <row r="2114" spans="1:2" x14ac:dyDescent="0.25">
      <c r="A2114" s="6">
        <v>38870</v>
      </c>
      <c r="B2114">
        <v>5.6028000000000002E-4</v>
      </c>
    </row>
    <row r="2115" spans="1:2" x14ac:dyDescent="0.25">
      <c r="A2115" s="6">
        <v>38873</v>
      </c>
      <c r="B2115">
        <v>5.6063E-4</v>
      </c>
    </row>
    <row r="2116" spans="1:2" x14ac:dyDescent="0.25">
      <c r="A2116" s="6">
        <v>38874</v>
      </c>
      <c r="B2116">
        <v>5.6063E-4</v>
      </c>
    </row>
    <row r="2117" spans="1:2" x14ac:dyDescent="0.25">
      <c r="A2117" s="6">
        <v>38875</v>
      </c>
      <c r="B2117">
        <v>5.6063E-4</v>
      </c>
    </row>
    <row r="2118" spans="1:2" x14ac:dyDescent="0.25">
      <c r="A2118" s="6">
        <v>38876</v>
      </c>
      <c r="B2118">
        <v>5.6063E-4</v>
      </c>
    </row>
    <row r="2119" spans="1:2" x14ac:dyDescent="0.25">
      <c r="A2119" s="6">
        <v>38877</v>
      </c>
      <c r="B2119">
        <v>5.6063E-4</v>
      </c>
    </row>
    <row r="2120" spans="1:2" x14ac:dyDescent="0.25">
      <c r="A2120" s="6">
        <v>38880</v>
      </c>
      <c r="B2120">
        <v>5.6097000000000004E-4</v>
      </c>
    </row>
    <row r="2121" spans="1:2" x14ac:dyDescent="0.25">
      <c r="A2121" s="6">
        <v>38881</v>
      </c>
      <c r="B2121">
        <v>5.6132000000000003E-4</v>
      </c>
    </row>
    <row r="2122" spans="1:2" x14ac:dyDescent="0.25">
      <c r="A2122" s="6">
        <v>38882</v>
      </c>
      <c r="B2122">
        <v>5.6097000000000004E-4</v>
      </c>
    </row>
    <row r="2123" spans="1:2" x14ac:dyDescent="0.25">
      <c r="A2123" s="6">
        <v>38884</v>
      </c>
      <c r="B2123">
        <v>5.6097000000000004E-4</v>
      </c>
    </row>
    <row r="2124" spans="1:2" x14ac:dyDescent="0.25">
      <c r="A2124" s="6">
        <v>38887</v>
      </c>
      <c r="B2124">
        <v>5.6097000000000004E-4</v>
      </c>
    </row>
    <row r="2125" spans="1:2" x14ac:dyDescent="0.25">
      <c r="A2125" s="6">
        <v>38888</v>
      </c>
      <c r="B2125">
        <v>5.6097000000000004E-4</v>
      </c>
    </row>
    <row r="2126" spans="1:2" x14ac:dyDescent="0.25">
      <c r="A2126" s="6">
        <v>38889</v>
      </c>
      <c r="B2126">
        <v>5.6097000000000004E-4</v>
      </c>
    </row>
    <row r="2127" spans="1:2" x14ac:dyDescent="0.25">
      <c r="A2127" s="6">
        <v>38890</v>
      </c>
      <c r="B2127">
        <v>5.6097000000000004E-4</v>
      </c>
    </row>
    <row r="2128" spans="1:2" x14ac:dyDescent="0.25">
      <c r="A2128" s="6">
        <v>38891</v>
      </c>
      <c r="B2128">
        <v>5.6063E-4</v>
      </c>
    </row>
    <row r="2129" spans="1:2" x14ac:dyDescent="0.25">
      <c r="A2129" s="6">
        <v>38894</v>
      </c>
      <c r="B2129">
        <v>5.6097000000000004E-4</v>
      </c>
    </row>
    <row r="2130" spans="1:2" x14ac:dyDescent="0.25">
      <c r="A2130" s="6">
        <v>38895</v>
      </c>
      <c r="B2130">
        <v>5.6097000000000004E-4</v>
      </c>
    </row>
    <row r="2131" spans="1:2" x14ac:dyDescent="0.25">
      <c r="A2131" s="6">
        <v>38896</v>
      </c>
      <c r="B2131">
        <v>5.6097000000000004E-4</v>
      </c>
    </row>
    <row r="2132" spans="1:2" x14ac:dyDescent="0.25">
      <c r="A2132" s="6">
        <v>38897</v>
      </c>
      <c r="B2132">
        <v>5.6097000000000004E-4</v>
      </c>
    </row>
    <row r="2133" spans="1:2" x14ac:dyDescent="0.25">
      <c r="A2133" s="6">
        <v>38898</v>
      </c>
      <c r="B2133">
        <v>5.6097000000000004E-4</v>
      </c>
    </row>
    <row r="2134" spans="1:2" x14ac:dyDescent="0.25">
      <c r="A2134" s="6">
        <v>38901</v>
      </c>
      <c r="B2134">
        <v>5.6063E-4</v>
      </c>
    </row>
    <row r="2135" spans="1:2" x14ac:dyDescent="0.25">
      <c r="A2135" s="6">
        <v>38902</v>
      </c>
      <c r="B2135">
        <v>5.6097000000000004E-4</v>
      </c>
    </row>
    <row r="2136" spans="1:2" x14ac:dyDescent="0.25">
      <c r="A2136" s="6">
        <v>38903</v>
      </c>
      <c r="B2136">
        <v>5.6097000000000004E-4</v>
      </c>
    </row>
    <row r="2137" spans="1:2" x14ac:dyDescent="0.25">
      <c r="A2137" s="6">
        <v>38904</v>
      </c>
      <c r="B2137">
        <v>5.6097000000000004E-4</v>
      </c>
    </row>
    <row r="2138" spans="1:2" x14ac:dyDescent="0.25">
      <c r="A2138" s="6">
        <v>38905</v>
      </c>
      <c r="B2138">
        <v>5.6097000000000004E-4</v>
      </c>
    </row>
    <row r="2139" spans="1:2" x14ac:dyDescent="0.25">
      <c r="A2139" s="6">
        <v>38908</v>
      </c>
      <c r="B2139">
        <v>5.6097000000000004E-4</v>
      </c>
    </row>
    <row r="2140" spans="1:2" x14ac:dyDescent="0.25">
      <c r="A2140" s="6">
        <v>38909</v>
      </c>
      <c r="B2140">
        <v>5.6097000000000004E-4</v>
      </c>
    </row>
    <row r="2141" spans="1:2" x14ac:dyDescent="0.25">
      <c r="A2141" s="6">
        <v>38910</v>
      </c>
      <c r="B2141">
        <v>5.6097000000000004E-4</v>
      </c>
    </row>
    <row r="2142" spans="1:2" x14ac:dyDescent="0.25">
      <c r="A2142" s="6">
        <v>38911</v>
      </c>
      <c r="B2142">
        <v>5.6097000000000004E-4</v>
      </c>
    </row>
    <row r="2143" spans="1:2" x14ac:dyDescent="0.25">
      <c r="A2143" s="6">
        <v>38912</v>
      </c>
      <c r="B2143">
        <v>5.6097000000000004E-4</v>
      </c>
    </row>
    <row r="2144" spans="1:2" x14ac:dyDescent="0.25">
      <c r="A2144" s="6">
        <v>38915</v>
      </c>
      <c r="B2144">
        <v>5.6028000000000002E-4</v>
      </c>
    </row>
    <row r="2145" spans="1:2" x14ac:dyDescent="0.25">
      <c r="A2145" s="6">
        <v>38916</v>
      </c>
      <c r="B2145">
        <v>5.6132000000000003E-4</v>
      </c>
    </row>
    <row r="2146" spans="1:2" x14ac:dyDescent="0.25">
      <c r="A2146" s="6">
        <v>38917</v>
      </c>
      <c r="B2146">
        <v>5.6063E-4</v>
      </c>
    </row>
    <row r="2147" spans="1:2" x14ac:dyDescent="0.25">
      <c r="A2147" s="6">
        <v>38918</v>
      </c>
      <c r="B2147">
        <v>5.4301000000000002E-4</v>
      </c>
    </row>
    <row r="2148" spans="1:2" x14ac:dyDescent="0.25">
      <c r="A2148" s="6">
        <v>38919</v>
      </c>
      <c r="B2148">
        <v>5.4266000000000004E-4</v>
      </c>
    </row>
    <row r="2149" spans="1:2" x14ac:dyDescent="0.25">
      <c r="A2149" s="6">
        <v>38922</v>
      </c>
      <c r="B2149">
        <v>5.4301000000000002E-4</v>
      </c>
    </row>
    <row r="2150" spans="1:2" x14ac:dyDescent="0.25">
      <c r="A2150" s="6">
        <v>38923</v>
      </c>
      <c r="B2150">
        <v>5.4301000000000002E-4</v>
      </c>
    </row>
    <row r="2151" spans="1:2" x14ac:dyDescent="0.25">
      <c r="A2151" s="6">
        <v>38924</v>
      </c>
      <c r="B2151">
        <v>5.4301000000000002E-4</v>
      </c>
    </row>
    <row r="2152" spans="1:2" x14ac:dyDescent="0.25">
      <c r="A2152" s="6">
        <v>38925</v>
      </c>
      <c r="B2152">
        <v>5.4301000000000002E-4</v>
      </c>
    </row>
    <row r="2153" spans="1:2" x14ac:dyDescent="0.25">
      <c r="A2153" s="6">
        <v>38926</v>
      </c>
      <c r="B2153">
        <v>5.4266000000000004E-4</v>
      </c>
    </row>
    <row r="2154" spans="1:2" x14ac:dyDescent="0.25">
      <c r="A2154" s="6">
        <v>38929</v>
      </c>
      <c r="B2154">
        <v>5.4301000000000002E-4</v>
      </c>
    </row>
    <row r="2155" spans="1:2" x14ac:dyDescent="0.25">
      <c r="A2155" s="6">
        <v>38930</v>
      </c>
      <c r="B2155">
        <v>5.4301000000000002E-4</v>
      </c>
    </row>
    <row r="2156" spans="1:2" x14ac:dyDescent="0.25">
      <c r="A2156" s="6">
        <v>38931</v>
      </c>
      <c r="B2156">
        <v>5.4301000000000002E-4</v>
      </c>
    </row>
    <row r="2157" spans="1:2" x14ac:dyDescent="0.25">
      <c r="A2157" s="6">
        <v>38932</v>
      </c>
      <c r="B2157">
        <v>5.4335000000000006E-4</v>
      </c>
    </row>
    <row r="2158" spans="1:2" x14ac:dyDescent="0.25">
      <c r="A2158" s="6">
        <v>38933</v>
      </c>
      <c r="B2158">
        <v>5.4301000000000002E-4</v>
      </c>
    </row>
    <row r="2159" spans="1:2" x14ac:dyDescent="0.25">
      <c r="A2159" s="6">
        <v>38936</v>
      </c>
      <c r="B2159">
        <v>5.4301000000000002E-4</v>
      </c>
    </row>
    <row r="2160" spans="1:2" x14ac:dyDescent="0.25">
      <c r="A2160" s="6">
        <v>38937</v>
      </c>
      <c r="B2160">
        <v>5.4301000000000002E-4</v>
      </c>
    </row>
    <row r="2161" spans="1:2" x14ac:dyDescent="0.25">
      <c r="A2161" s="6">
        <v>38938</v>
      </c>
      <c r="B2161">
        <v>5.4301000000000002E-4</v>
      </c>
    </row>
    <row r="2162" spans="1:2" x14ac:dyDescent="0.25">
      <c r="A2162" s="6">
        <v>38939</v>
      </c>
      <c r="B2162">
        <v>5.4301000000000002E-4</v>
      </c>
    </row>
    <row r="2163" spans="1:2" x14ac:dyDescent="0.25">
      <c r="A2163" s="6">
        <v>38940</v>
      </c>
      <c r="B2163">
        <v>5.4335000000000006E-4</v>
      </c>
    </row>
    <row r="2164" spans="1:2" x14ac:dyDescent="0.25">
      <c r="A2164" s="6">
        <v>38943</v>
      </c>
      <c r="B2164">
        <v>5.4405000000000002E-4</v>
      </c>
    </row>
    <row r="2165" spans="1:2" x14ac:dyDescent="0.25">
      <c r="A2165" s="6">
        <v>38944</v>
      </c>
      <c r="B2165">
        <v>5.4439000000000006E-4</v>
      </c>
    </row>
    <row r="2166" spans="1:2" x14ac:dyDescent="0.25">
      <c r="A2166" s="6">
        <v>38945</v>
      </c>
      <c r="B2166">
        <v>5.4405000000000002E-4</v>
      </c>
    </row>
    <row r="2167" spans="1:2" x14ac:dyDescent="0.25">
      <c r="A2167" s="6">
        <v>38946</v>
      </c>
      <c r="B2167">
        <v>5.4405000000000002E-4</v>
      </c>
    </row>
    <row r="2168" spans="1:2" x14ac:dyDescent="0.25">
      <c r="A2168" s="6">
        <v>38947</v>
      </c>
      <c r="B2168">
        <v>5.4578000000000005E-4</v>
      </c>
    </row>
    <row r="2169" spans="1:2" x14ac:dyDescent="0.25">
      <c r="A2169" s="6">
        <v>38950</v>
      </c>
      <c r="B2169">
        <v>5.4439000000000006E-4</v>
      </c>
    </row>
    <row r="2170" spans="1:2" x14ac:dyDescent="0.25">
      <c r="A2170" s="6">
        <v>38951</v>
      </c>
      <c r="B2170">
        <v>5.4405000000000002E-4</v>
      </c>
    </row>
    <row r="2171" spans="1:2" x14ac:dyDescent="0.25">
      <c r="A2171" s="6">
        <v>38952</v>
      </c>
      <c r="B2171">
        <v>5.4370000000000004E-4</v>
      </c>
    </row>
    <row r="2172" spans="1:2" x14ac:dyDescent="0.25">
      <c r="A2172" s="6">
        <v>38953</v>
      </c>
      <c r="B2172">
        <v>5.4405000000000002E-4</v>
      </c>
    </row>
    <row r="2173" spans="1:2" x14ac:dyDescent="0.25">
      <c r="A2173" s="6">
        <v>38954</v>
      </c>
      <c r="B2173">
        <v>5.4370000000000004E-4</v>
      </c>
    </row>
    <row r="2174" spans="1:2" x14ac:dyDescent="0.25">
      <c r="A2174" s="6">
        <v>38957</v>
      </c>
      <c r="B2174">
        <v>5.4405000000000002E-4</v>
      </c>
    </row>
    <row r="2175" spans="1:2" x14ac:dyDescent="0.25">
      <c r="A2175" s="6">
        <v>38958</v>
      </c>
      <c r="B2175">
        <v>5.4405000000000002E-4</v>
      </c>
    </row>
    <row r="2176" spans="1:2" x14ac:dyDescent="0.25">
      <c r="A2176" s="6">
        <v>38959</v>
      </c>
      <c r="B2176">
        <v>5.4335000000000006E-4</v>
      </c>
    </row>
    <row r="2177" spans="1:2" x14ac:dyDescent="0.25">
      <c r="A2177" s="6">
        <v>38960</v>
      </c>
      <c r="B2177">
        <v>5.2634999999999997E-4</v>
      </c>
    </row>
    <row r="2178" spans="1:2" x14ac:dyDescent="0.25">
      <c r="A2178" s="6">
        <v>38961</v>
      </c>
      <c r="B2178">
        <v>5.2599999999999999E-4</v>
      </c>
    </row>
    <row r="2179" spans="1:2" x14ac:dyDescent="0.25">
      <c r="A2179" s="6">
        <v>38964</v>
      </c>
      <c r="B2179">
        <v>5.2599999999999999E-4</v>
      </c>
    </row>
    <row r="2180" spans="1:2" x14ac:dyDescent="0.25">
      <c r="A2180" s="6">
        <v>38965</v>
      </c>
      <c r="B2180">
        <v>5.2634999999999997E-4</v>
      </c>
    </row>
    <row r="2181" spans="1:2" x14ac:dyDescent="0.25">
      <c r="A2181" s="6">
        <v>38966</v>
      </c>
      <c r="B2181">
        <v>5.2599999999999999E-4</v>
      </c>
    </row>
    <row r="2182" spans="1:2" x14ac:dyDescent="0.25">
      <c r="A2182" s="6">
        <v>38968</v>
      </c>
      <c r="B2182">
        <v>5.2599999999999999E-4</v>
      </c>
    </row>
    <row r="2183" spans="1:2" x14ac:dyDescent="0.25">
      <c r="A2183" s="6">
        <v>38971</v>
      </c>
      <c r="B2183">
        <v>5.2599999999999999E-4</v>
      </c>
    </row>
    <row r="2184" spans="1:2" x14ac:dyDescent="0.25">
      <c r="A2184" s="6">
        <v>38972</v>
      </c>
      <c r="B2184">
        <v>5.2599999999999999E-4</v>
      </c>
    </row>
    <row r="2185" spans="1:2" x14ac:dyDescent="0.25">
      <c r="A2185" s="6">
        <v>38973</v>
      </c>
      <c r="B2185">
        <v>5.2599999999999999E-4</v>
      </c>
    </row>
    <row r="2186" spans="1:2" x14ac:dyDescent="0.25">
      <c r="A2186" s="6">
        <v>38974</v>
      </c>
      <c r="B2186">
        <v>5.2599999999999999E-4</v>
      </c>
    </row>
    <row r="2187" spans="1:2" x14ac:dyDescent="0.25">
      <c r="A2187" s="6">
        <v>38975</v>
      </c>
      <c r="B2187">
        <v>5.2599999999999999E-4</v>
      </c>
    </row>
    <row r="2188" spans="1:2" x14ac:dyDescent="0.25">
      <c r="A2188" s="6">
        <v>38978</v>
      </c>
      <c r="B2188">
        <v>5.2566000000000006E-4</v>
      </c>
    </row>
    <row r="2189" spans="1:2" x14ac:dyDescent="0.25">
      <c r="A2189" s="6">
        <v>38979</v>
      </c>
      <c r="B2189">
        <v>5.2599999999999999E-4</v>
      </c>
    </row>
    <row r="2190" spans="1:2" x14ac:dyDescent="0.25">
      <c r="A2190" s="6">
        <v>38980</v>
      </c>
      <c r="B2190">
        <v>5.2599999999999999E-4</v>
      </c>
    </row>
    <row r="2191" spans="1:2" x14ac:dyDescent="0.25">
      <c r="A2191" s="6">
        <v>38981</v>
      </c>
      <c r="B2191">
        <v>5.2634999999999997E-4</v>
      </c>
    </row>
    <row r="2192" spans="1:2" x14ac:dyDescent="0.25">
      <c r="A2192" s="6">
        <v>38982</v>
      </c>
      <c r="B2192">
        <v>5.2599999999999999E-4</v>
      </c>
    </row>
    <row r="2193" spans="1:2" x14ac:dyDescent="0.25">
      <c r="A2193" s="6">
        <v>38985</v>
      </c>
      <c r="B2193">
        <v>5.2599999999999999E-4</v>
      </c>
    </row>
    <row r="2194" spans="1:2" x14ac:dyDescent="0.25">
      <c r="A2194" s="6">
        <v>38986</v>
      </c>
      <c r="B2194">
        <v>5.2599999999999999E-4</v>
      </c>
    </row>
    <row r="2195" spans="1:2" x14ac:dyDescent="0.25">
      <c r="A2195" s="6">
        <v>38987</v>
      </c>
      <c r="B2195">
        <v>5.2599999999999999E-4</v>
      </c>
    </row>
    <row r="2196" spans="1:2" x14ac:dyDescent="0.25">
      <c r="A2196" s="6">
        <v>38988</v>
      </c>
      <c r="B2196">
        <v>5.2599999999999999E-4</v>
      </c>
    </row>
    <row r="2197" spans="1:2" x14ac:dyDescent="0.25">
      <c r="A2197" s="6">
        <v>38989</v>
      </c>
      <c r="B2197">
        <v>5.2599999999999999E-4</v>
      </c>
    </row>
    <row r="2198" spans="1:2" x14ac:dyDescent="0.25">
      <c r="A2198" s="6">
        <v>38992</v>
      </c>
      <c r="B2198">
        <v>5.2566000000000006E-4</v>
      </c>
    </row>
    <row r="2199" spans="1:2" x14ac:dyDescent="0.25">
      <c r="A2199" s="6">
        <v>38993</v>
      </c>
      <c r="B2199">
        <v>5.2566000000000006E-4</v>
      </c>
    </row>
    <row r="2200" spans="1:2" x14ac:dyDescent="0.25">
      <c r="A2200" s="6">
        <v>38994</v>
      </c>
      <c r="B2200">
        <v>5.2566000000000006E-4</v>
      </c>
    </row>
    <row r="2201" spans="1:2" x14ac:dyDescent="0.25">
      <c r="A2201" s="6">
        <v>38995</v>
      </c>
      <c r="B2201">
        <v>5.2566000000000006E-4</v>
      </c>
    </row>
    <row r="2202" spans="1:2" x14ac:dyDescent="0.25">
      <c r="A2202" s="6">
        <v>38996</v>
      </c>
      <c r="B2202">
        <v>5.2599999999999999E-4</v>
      </c>
    </row>
    <row r="2203" spans="1:2" x14ac:dyDescent="0.25">
      <c r="A2203" s="6">
        <v>38999</v>
      </c>
      <c r="B2203">
        <v>5.2566000000000006E-4</v>
      </c>
    </row>
    <row r="2204" spans="1:2" x14ac:dyDescent="0.25">
      <c r="A2204" s="6">
        <v>39000</v>
      </c>
      <c r="B2204">
        <v>5.2566000000000006E-4</v>
      </c>
    </row>
    <row r="2205" spans="1:2" x14ac:dyDescent="0.25">
      <c r="A2205" s="6">
        <v>39001</v>
      </c>
      <c r="B2205">
        <v>5.2566000000000006E-4</v>
      </c>
    </row>
    <row r="2206" spans="1:2" x14ac:dyDescent="0.25">
      <c r="A2206" s="6">
        <v>39003</v>
      </c>
      <c r="B2206">
        <v>5.2566000000000006E-4</v>
      </c>
    </row>
    <row r="2207" spans="1:2" x14ac:dyDescent="0.25">
      <c r="A2207" s="6">
        <v>39006</v>
      </c>
      <c r="B2207">
        <v>5.2566000000000006E-4</v>
      </c>
    </row>
    <row r="2208" spans="1:2" x14ac:dyDescent="0.25">
      <c r="A2208" s="6">
        <v>39007</v>
      </c>
      <c r="B2208">
        <v>5.2566000000000006E-4</v>
      </c>
    </row>
    <row r="2209" spans="1:2" x14ac:dyDescent="0.25">
      <c r="A2209" s="6">
        <v>39008</v>
      </c>
      <c r="B2209">
        <v>5.2566000000000006E-4</v>
      </c>
    </row>
    <row r="2210" spans="1:2" x14ac:dyDescent="0.25">
      <c r="A2210" s="6">
        <v>39009</v>
      </c>
      <c r="B2210">
        <v>5.0858000000000001E-4</v>
      </c>
    </row>
    <row r="2211" spans="1:2" x14ac:dyDescent="0.25">
      <c r="A2211" s="6">
        <v>39010</v>
      </c>
      <c r="B2211">
        <v>5.0788000000000005E-4</v>
      </c>
    </row>
    <row r="2212" spans="1:2" x14ac:dyDescent="0.25">
      <c r="A2212" s="6">
        <v>39013</v>
      </c>
      <c r="B2212">
        <v>5.0823000000000003E-4</v>
      </c>
    </row>
    <row r="2213" spans="1:2" x14ac:dyDescent="0.25">
      <c r="A2213" s="6">
        <v>39014</v>
      </c>
      <c r="B2213">
        <v>5.0858000000000001E-4</v>
      </c>
    </row>
    <row r="2214" spans="1:2" x14ac:dyDescent="0.25">
      <c r="A2214" s="6">
        <v>39015</v>
      </c>
      <c r="B2214">
        <v>5.0892999999999999E-4</v>
      </c>
    </row>
    <row r="2215" spans="1:2" x14ac:dyDescent="0.25">
      <c r="A2215" s="6">
        <v>39016</v>
      </c>
      <c r="B2215">
        <v>5.0892999999999999E-4</v>
      </c>
    </row>
    <row r="2216" spans="1:2" x14ac:dyDescent="0.25">
      <c r="A2216" s="6">
        <v>39017</v>
      </c>
      <c r="B2216">
        <v>5.0858000000000001E-4</v>
      </c>
    </row>
    <row r="2217" spans="1:2" x14ac:dyDescent="0.25">
      <c r="A2217" s="6">
        <v>39020</v>
      </c>
      <c r="B2217">
        <v>5.0892999999999999E-4</v>
      </c>
    </row>
    <row r="2218" spans="1:2" x14ac:dyDescent="0.25">
      <c r="A2218" s="6">
        <v>39021</v>
      </c>
      <c r="B2218">
        <v>5.0892999999999999E-4</v>
      </c>
    </row>
    <row r="2219" spans="1:2" x14ac:dyDescent="0.25">
      <c r="A2219" s="6">
        <v>39022</v>
      </c>
      <c r="B2219">
        <v>5.0892999999999999E-4</v>
      </c>
    </row>
    <row r="2220" spans="1:2" x14ac:dyDescent="0.25">
      <c r="A2220" s="6">
        <v>39024</v>
      </c>
      <c r="B2220">
        <v>5.0858000000000001E-4</v>
      </c>
    </row>
    <row r="2221" spans="1:2" x14ac:dyDescent="0.25">
      <c r="A2221" s="6">
        <v>39027</v>
      </c>
      <c r="B2221">
        <v>5.0927999999999998E-4</v>
      </c>
    </row>
    <row r="2222" spans="1:2" x14ac:dyDescent="0.25">
      <c r="A2222" s="6">
        <v>39028</v>
      </c>
      <c r="B2222">
        <v>5.0927999999999998E-4</v>
      </c>
    </row>
    <row r="2223" spans="1:2" x14ac:dyDescent="0.25">
      <c r="A2223" s="6">
        <v>39029</v>
      </c>
      <c r="B2223">
        <v>5.0927999999999998E-4</v>
      </c>
    </row>
    <row r="2224" spans="1:2" x14ac:dyDescent="0.25">
      <c r="A2224" s="6">
        <v>39030</v>
      </c>
      <c r="B2224">
        <v>5.0892999999999999E-4</v>
      </c>
    </row>
    <row r="2225" spans="1:2" x14ac:dyDescent="0.25">
      <c r="A2225" s="6">
        <v>39031</v>
      </c>
      <c r="B2225">
        <v>5.0823000000000003E-4</v>
      </c>
    </row>
    <row r="2226" spans="1:2" x14ac:dyDescent="0.25">
      <c r="A2226" s="6">
        <v>39034</v>
      </c>
      <c r="B2226">
        <v>5.0892999999999999E-4</v>
      </c>
    </row>
    <row r="2227" spans="1:2" x14ac:dyDescent="0.25">
      <c r="A2227" s="6">
        <v>39035</v>
      </c>
      <c r="B2227">
        <v>5.0858000000000001E-4</v>
      </c>
    </row>
    <row r="2228" spans="1:2" x14ac:dyDescent="0.25">
      <c r="A2228" s="6">
        <v>39037</v>
      </c>
      <c r="B2228">
        <v>5.0823000000000003E-4</v>
      </c>
    </row>
    <row r="2229" spans="1:2" x14ac:dyDescent="0.25">
      <c r="A2229" s="6">
        <v>39038</v>
      </c>
      <c r="B2229">
        <v>5.0823000000000003E-4</v>
      </c>
    </row>
    <row r="2230" spans="1:2" x14ac:dyDescent="0.25">
      <c r="A2230" s="6">
        <v>39041</v>
      </c>
      <c r="B2230">
        <v>5.0892999999999999E-4</v>
      </c>
    </row>
    <row r="2231" spans="1:2" x14ac:dyDescent="0.25">
      <c r="A2231" s="6">
        <v>39042</v>
      </c>
      <c r="B2231">
        <v>5.0892999999999999E-4</v>
      </c>
    </row>
    <row r="2232" spans="1:2" x14ac:dyDescent="0.25">
      <c r="A2232" s="6">
        <v>39043</v>
      </c>
      <c r="B2232">
        <v>5.0823000000000003E-4</v>
      </c>
    </row>
    <row r="2233" spans="1:2" x14ac:dyDescent="0.25">
      <c r="A2233" s="6">
        <v>39044</v>
      </c>
      <c r="B2233">
        <v>5.0858000000000001E-4</v>
      </c>
    </row>
    <row r="2234" spans="1:2" x14ac:dyDescent="0.25">
      <c r="A2234" s="6">
        <v>39045</v>
      </c>
      <c r="B2234">
        <v>5.0823000000000003E-4</v>
      </c>
    </row>
    <row r="2235" spans="1:2" x14ac:dyDescent="0.25">
      <c r="A2235" s="6">
        <v>39048</v>
      </c>
      <c r="B2235">
        <v>5.0823000000000003E-4</v>
      </c>
    </row>
    <row r="2236" spans="1:2" x14ac:dyDescent="0.25">
      <c r="A2236" s="6">
        <v>39049</v>
      </c>
      <c r="B2236">
        <v>5.0892999999999999E-4</v>
      </c>
    </row>
    <row r="2237" spans="1:2" x14ac:dyDescent="0.25">
      <c r="A2237" s="6">
        <v>39050</v>
      </c>
      <c r="B2237">
        <v>5.0892999999999999E-4</v>
      </c>
    </row>
    <row r="2238" spans="1:2" x14ac:dyDescent="0.25">
      <c r="A2238" s="6">
        <v>39051</v>
      </c>
      <c r="B2238">
        <v>4.9142999999999995E-4</v>
      </c>
    </row>
    <row r="2239" spans="1:2" x14ac:dyDescent="0.25">
      <c r="A2239" s="6">
        <v>39052</v>
      </c>
      <c r="B2239">
        <v>4.9142999999999995E-4</v>
      </c>
    </row>
    <row r="2240" spans="1:2" x14ac:dyDescent="0.25">
      <c r="A2240" s="6">
        <v>39055</v>
      </c>
      <c r="B2240">
        <v>4.9142999999999995E-4</v>
      </c>
    </row>
    <row r="2241" spans="1:2" x14ac:dyDescent="0.25">
      <c r="A2241" s="6">
        <v>39056</v>
      </c>
      <c r="B2241">
        <v>4.9178000000000004E-4</v>
      </c>
    </row>
    <row r="2242" spans="1:2" x14ac:dyDescent="0.25">
      <c r="A2242" s="6">
        <v>39057</v>
      </c>
      <c r="B2242">
        <v>4.9142999999999995E-4</v>
      </c>
    </row>
    <row r="2243" spans="1:2" x14ac:dyDescent="0.25">
      <c r="A2243" s="6">
        <v>39058</v>
      </c>
      <c r="B2243">
        <v>4.9142999999999995E-4</v>
      </c>
    </row>
    <row r="2244" spans="1:2" x14ac:dyDescent="0.25">
      <c r="A2244" s="6">
        <v>39059</v>
      </c>
      <c r="B2244">
        <v>4.9142999999999995E-4</v>
      </c>
    </row>
    <row r="2245" spans="1:2" x14ac:dyDescent="0.25">
      <c r="A2245" s="6">
        <v>39062</v>
      </c>
      <c r="B2245">
        <v>4.9178000000000004E-4</v>
      </c>
    </row>
    <row r="2246" spans="1:2" x14ac:dyDescent="0.25">
      <c r="A2246" s="6">
        <v>39063</v>
      </c>
      <c r="B2246">
        <v>4.9142999999999995E-4</v>
      </c>
    </row>
    <row r="2247" spans="1:2" x14ac:dyDescent="0.25">
      <c r="A2247" s="6">
        <v>39064</v>
      </c>
      <c r="B2247">
        <v>4.9178000000000004E-4</v>
      </c>
    </row>
    <row r="2248" spans="1:2" x14ac:dyDescent="0.25">
      <c r="A2248" s="6">
        <v>39065</v>
      </c>
      <c r="B2248">
        <v>4.9178000000000004E-4</v>
      </c>
    </row>
    <row r="2249" spans="1:2" x14ac:dyDescent="0.25">
      <c r="A2249" s="6">
        <v>39066</v>
      </c>
      <c r="B2249">
        <v>4.9142999999999995E-4</v>
      </c>
    </row>
    <row r="2250" spans="1:2" x14ac:dyDescent="0.25">
      <c r="A2250" s="6">
        <v>39069</v>
      </c>
      <c r="B2250">
        <v>4.9178000000000004E-4</v>
      </c>
    </row>
    <row r="2251" spans="1:2" x14ac:dyDescent="0.25">
      <c r="A2251" s="6">
        <v>39070</v>
      </c>
      <c r="B2251">
        <v>4.9178000000000004E-4</v>
      </c>
    </row>
    <row r="2252" spans="1:2" x14ac:dyDescent="0.25">
      <c r="A2252" s="6">
        <v>39071</v>
      </c>
      <c r="B2252">
        <v>4.9178000000000004E-4</v>
      </c>
    </row>
    <row r="2253" spans="1:2" x14ac:dyDescent="0.25">
      <c r="A2253" s="6">
        <v>39072</v>
      </c>
      <c r="B2253">
        <v>4.9178000000000004E-4</v>
      </c>
    </row>
    <row r="2254" spans="1:2" x14ac:dyDescent="0.25">
      <c r="A2254" s="6">
        <v>39073</v>
      </c>
      <c r="B2254">
        <v>4.9178000000000004E-4</v>
      </c>
    </row>
    <row r="2255" spans="1:2" x14ac:dyDescent="0.25">
      <c r="A2255" s="6">
        <v>39077</v>
      </c>
      <c r="B2255">
        <v>4.9178000000000004E-4</v>
      </c>
    </row>
    <row r="2256" spans="1:2" x14ac:dyDescent="0.25">
      <c r="A2256" s="6">
        <v>39078</v>
      </c>
      <c r="B2256">
        <v>4.9142999999999995E-4</v>
      </c>
    </row>
    <row r="2257" spans="1:2" x14ac:dyDescent="0.25">
      <c r="A2257" s="6">
        <v>39079</v>
      </c>
      <c r="B2257">
        <v>4.9178000000000004E-4</v>
      </c>
    </row>
    <row r="2258" spans="1:2" x14ac:dyDescent="0.25">
      <c r="A2258" s="6">
        <v>39080</v>
      </c>
      <c r="B2258">
        <v>4.9178000000000004E-4</v>
      </c>
    </row>
    <row r="2259" spans="1:2" x14ac:dyDescent="0.25">
      <c r="A2259" s="6">
        <v>39084</v>
      </c>
      <c r="B2259">
        <v>4.9178000000000004E-4</v>
      </c>
    </row>
    <row r="2260" spans="1:2" x14ac:dyDescent="0.25">
      <c r="A2260" s="6">
        <v>39085</v>
      </c>
      <c r="B2260">
        <v>4.9142999999999995E-4</v>
      </c>
    </row>
    <row r="2261" spans="1:2" x14ac:dyDescent="0.25">
      <c r="A2261" s="6">
        <v>39086</v>
      </c>
      <c r="B2261">
        <v>4.9178000000000004E-4</v>
      </c>
    </row>
    <row r="2262" spans="1:2" x14ac:dyDescent="0.25">
      <c r="A2262" s="6">
        <v>39087</v>
      </c>
      <c r="B2262">
        <v>4.9178000000000004E-4</v>
      </c>
    </row>
    <row r="2263" spans="1:2" x14ac:dyDescent="0.25">
      <c r="A2263" s="6">
        <v>39090</v>
      </c>
      <c r="B2263">
        <v>4.9178000000000004E-4</v>
      </c>
    </row>
    <row r="2264" spans="1:2" x14ac:dyDescent="0.25">
      <c r="A2264" s="6">
        <v>39091</v>
      </c>
      <c r="B2264">
        <v>4.9178000000000004E-4</v>
      </c>
    </row>
    <row r="2265" spans="1:2" x14ac:dyDescent="0.25">
      <c r="A2265" s="6">
        <v>39092</v>
      </c>
      <c r="B2265">
        <v>4.9178000000000004E-4</v>
      </c>
    </row>
    <row r="2266" spans="1:2" x14ac:dyDescent="0.25">
      <c r="A2266" s="6">
        <v>39093</v>
      </c>
      <c r="B2266">
        <v>4.9178000000000004E-4</v>
      </c>
    </row>
    <row r="2267" spans="1:2" x14ac:dyDescent="0.25">
      <c r="A2267" s="6">
        <v>39094</v>
      </c>
      <c r="B2267">
        <v>4.9142999999999995E-4</v>
      </c>
    </row>
    <row r="2268" spans="1:2" x14ac:dyDescent="0.25">
      <c r="A2268" s="6">
        <v>39097</v>
      </c>
      <c r="B2268">
        <v>4.9178000000000004E-4</v>
      </c>
    </row>
    <row r="2269" spans="1:2" x14ac:dyDescent="0.25">
      <c r="A2269" s="6">
        <v>39098</v>
      </c>
      <c r="B2269">
        <v>4.9178000000000004E-4</v>
      </c>
    </row>
    <row r="2270" spans="1:2" x14ac:dyDescent="0.25">
      <c r="A2270" s="6">
        <v>39099</v>
      </c>
      <c r="B2270">
        <v>4.9178000000000004E-4</v>
      </c>
    </row>
    <row r="2271" spans="1:2" x14ac:dyDescent="0.25">
      <c r="A2271" s="6">
        <v>39100</v>
      </c>
      <c r="B2271">
        <v>4.9178000000000004E-4</v>
      </c>
    </row>
    <row r="2272" spans="1:2" x14ac:dyDescent="0.25">
      <c r="A2272" s="6">
        <v>39101</v>
      </c>
      <c r="B2272">
        <v>4.9178000000000004E-4</v>
      </c>
    </row>
    <row r="2273" spans="1:2" x14ac:dyDescent="0.25">
      <c r="A2273" s="6">
        <v>39104</v>
      </c>
      <c r="B2273">
        <v>4.9178000000000004E-4</v>
      </c>
    </row>
    <row r="2274" spans="1:2" x14ac:dyDescent="0.25">
      <c r="A2274" s="6">
        <v>39105</v>
      </c>
      <c r="B2274">
        <v>4.9178000000000004E-4</v>
      </c>
    </row>
    <row r="2275" spans="1:2" x14ac:dyDescent="0.25">
      <c r="A2275" s="6">
        <v>39106</v>
      </c>
      <c r="B2275">
        <v>4.9142999999999995E-4</v>
      </c>
    </row>
    <row r="2276" spans="1:2" x14ac:dyDescent="0.25">
      <c r="A2276" s="6">
        <v>39107</v>
      </c>
      <c r="B2276">
        <v>4.8300000000000003E-4</v>
      </c>
    </row>
    <row r="2277" spans="1:2" x14ac:dyDescent="0.25">
      <c r="A2277" s="6">
        <v>39108</v>
      </c>
      <c r="B2277">
        <v>4.8230000000000001E-4</v>
      </c>
    </row>
    <row r="2278" spans="1:2" x14ac:dyDescent="0.25">
      <c r="A2278" s="6">
        <v>39111</v>
      </c>
      <c r="B2278">
        <v>4.8265000000000005E-4</v>
      </c>
    </row>
    <row r="2279" spans="1:2" x14ac:dyDescent="0.25">
      <c r="A2279" s="6">
        <v>39112</v>
      </c>
      <c r="B2279">
        <v>4.8265000000000005E-4</v>
      </c>
    </row>
    <row r="2280" spans="1:2" x14ac:dyDescent="0.25">
      <c r="A2280" s="6">
        <v>39113</v>
      </c>
      <c r="B2280">
        <v>4.8265000000000005E-4</v>
      </c>
    </row>
    <row r="2281" spans="1:2" x14ac:dyDescent="0.25">
      <c r="A2281" s="6">
        <v>39114</v>
      </c>
      <c r="B2281">
        <v>4.8265000000000005E-4</v>
      </c>
    </row>
    <row r="2282" spans="1:2" x14ac:dyDescent="0.25">
      <c r="A2282" s="6">
        <v>39115</v>
      </c>
      <c r="B2282">
        <v>4.8265000000000005E-4</v>
      </c>
    </row>
    <row r="2283" spans="1:2" x14ac:dyDescent="0.25">
      <c r="A2283" s="6">
        <v>39118</v>
      </c>
      <c r="B2283">
        <v>4.8265000000000005E-4</v>
      </c>
    </row>
    <row r="2284" spans="1:2" x14ac:dyDescent="0.25">
      <c r="A2284" s="6">
        <v>39119</v>
      </c>
      <c r="B2284">
        <v>4.8265000000000005E-4</v>
      </c>
    </row>
    <row r="2285" spans="1:2" x14ac:dyDescent="0.25">
      <c r="A2285" s="6">
        <v>39120</v>
      </c>
      <c r="B2285">
        <v>4.8265000000000005E-4</v>
      </c>
    </row>
    <row r="2286" spans="1:2" x14ac:dyDescent="0.25">
      <c r="A2286" s="6">
        <v>39121</v>
      </c>
      <c r="B2286">
        <v>4.8265000000000005E-4</v>
      </c>
    </row>
    <row r="2287" spans="1:2" x14ac:dyDescent="0.25">
      <c r="A2287" s="6">
        <v>39122</v>
      </c>
      <c r="B2287">
        <v>4.8265000000000005E-4</v>
      </c>
    </row>
    <row r="2288" spans="1:2" x14ac:dyDescent="0.25">
      <c r="A2288" s="6">
        <v>39125</v>
      </c>
      <c r="B2288">
        <v>4.8265000000000005E-4</v>
      </c>
    </row>
    <row r="2289" spans="1:2" x14ac:dyDescent="0.25">
      <c r="A2289" s="6">
        <v>39126</v>
      </c>
      <c r="B2289">
        <v>4.8265000000000005E-4</v>
      </c>
    </row>
    <row r="2290" spans="1:2" x14ac:dyDescent="0.25">
      <c r="A2290" s="6">
        <v>39127</v>
      </c>
      <c r="B2290">
        <v>4.8265000000000005E-4</v>
      </c>
    </row>
    <row r="2291" spans="1:2" x14ac:dyDescent="0.25">
      <c r="A2291" s="6">
        <v>39128</v>
      </c>
      <c r="B2291">
        <v>4.8265000000000005E-4</v>
      </c>
    </row>
    <row r="2292" spans="1:2" x14ac:dyDescent="0.25">
      <c r="A2292" s="6">
        <v>39129</v>
      </c>
      <c r="B2292">
        <v>4.8300000000000003E-4</v>
      </c>
    </row>
    <row r="2293" spans="1:2" x14ac:dyDescent="0.25">
      <c r="A2293" s="6">
        <v>39134</v>
      </c>
      <c r="B2293">
        <v>4.8300000000000003E-4</v>
      </c>
    </row>
    <row r="2294" spans="1:2" x14ac:dyDescent="0.25">
      <c r="A2294" s="6">
        <v>39135</v>
      </c>
      <c r="B2294">
        <v>4.8300000000000003E-4</v>
      </c>
    </row>
    <row r="2295" spans="1:2" x14ac:dyDescent="0.25">
      <c r="A2295" s="6">
        <v>39136</v>
      </c>
      <c r="B2295">
        <v>4.8300000000000003E-4</v>
      </c>
    </row>
    <row r="2296" spans="1:2" x14ac:dyDescent="0.25">
      <c r="A2296" s="6">
        <v>39139</v>
      </c>
      <c r="B2296">
        <v>4.8265000000000005E-4</v>
      </c>
    </row>
    <row r="2297" spans="1:2" x14ac:dyDescent="0.25">
      <c r="A2297" s="6">
        <v>39140</v>
      </c>
      <c r="B2297">
        <v>4.8265000000000005E-4</v>
      </c>
    </row>
    <row r="2298" spans="1:2" x14ac:dyDescent="0.25">
      <c r="A2298" s="6">
        <v>39141</v>
      </c>
      <c r="B2298">
        <v>4.8265000000000005E-4</v>
      </c>
    </row>
    <row r="2299" spans="1:2" x14ac:dyDescent="0.25">
      <c r="A2299" s="6">
        <v>39142</v>
      </c>
      <c r="B2299">
        <v>4.8265000000000005E-4</v>
      </c>
    </row>
    <row r="2300" spans="1:2" x14ac:dyDescent="0.25">
      <c r="A2300" s="6">
        <v>39143</v>
      </c>
      <c r="B2300">
        <v>4.8265000000000005E-4</v>
      </c>
    </row>
    <row r="2301" spans="1:2" x14ac:dyDescent="0.25">
      <c r="A2301" s="6">
        <v>39146</v>
      </c>
      <c r="B2301">
        <v>4.8265000000000005E-4</v>
      </c>
    </row>
    <row r="2302" spans="1:2" x14ac:dyDescent="0.25">
      <c r="A2302" s="6">
        <v>39147</v>
      </c>
      <c r="B2302">
        <v>4.8265000000000005E-4</v>
      </c>
    </row>
    <row r="2303" spans="1:2" x14ac:dyDescent="0.25">
      <c r="A2303" s="6">
        <v>39148</v>
      </c>
      <c r="B2303">
        <v>4.8265000000000005E-4</v>
      </c>
    </row>
    <row r="2304" spans="1:2" x14ac:dyDescent="0.25">
      <c r="A2304" s="6">
        <v>39149</v>
      </c>
      <c r="B2304">
        <v>4.7419999999999998E-4</v>
      </c>
    </row>
    <row r="2305" spans="1:2" x14ac:dyDescent="0.25">
      <c r="A2305" s="6">
        <v>39150</v>
      </c>
      <c r="B2305">
        <v>4.7419999999999998E-4</v>
      </c>
    </row>
    <row r="2306" spans="1:2" x14ac:dyDescent="0.25">
      <c r="A2306" s="6">
        <v>39153</v>
      </c>
      <c r="B2306">
        <v>4.7419999999999998E-4</v>
      </c>
    </row>
    <row r="2307" spans="1:2" x14ac:dyDescent="0.25">
      <c r="A2307" s="6">
        <v>39154</v>
      </c>
      <c r="B2307">
        <v>4.7384999999999994E-4</v>
      </c>
    </row>
    <row r="2308" spans="1:2" x14ac:dyDescent="0.25">
      <c r="A2308" s="6">
        <v>39155</v>
      </c>
      <c r="B2308">
        <v>4.7384999999999994E-4</v>
      </c>
    </row>
    <row r="2309" spans="1:2" x14ac:dyDescent="0.25">
      <c r="A2309" s="6">
        <v>39156</v>
      </c>
      <c r="B2309">
        <v>4.7384999999999994E-4</v>
      </c>
    </row>
    <row r="2310" spans="1:2" x14ac:dyDescent="0.25">
      <c r="A2310" s="6">
        <v>39157</v>
      </c>
      <c r="B2310">
        <v>4.7384999999999994E-4</v>
      </c>
    </row>
    <row r="2311" spans="1:2" x14ac:dyDescent="0.25">
      <c r="A2311" s="6">
        <v>39160</v>
      </c>
      <c r="B2311">
        <v>4.7384999999999994E-4</v>
      </c>
    </row>
    <row r="2312" spans="1:2" x14ac:dyDescent="0.25">
      <c r="A2312" s="6">
        <v>39161</v>
      </c>
      <c r="B2312">
        <v>4.7384999999999994E-4</v>
      </c>
    </row>
    <row r="2313" spans="1:2" x14ac:dyDescent="0.25">
      <c r="A2313" s="6">
        <v>39162</v>
      </c>
      <c r="B2313">
        <v>4.7384999999999994E-4</v>
      </c>
    </row>
    <row r="2314" spans="1:2" x14ac:dyDescent="0.25">
      <c r="A2314" s="6">
        <v>39163</v>
      </c>
      <c r="B2314">
        <v>4.7384999999999994E-4</v>
      </c>
    </row>
    <row r="2315" spans="1:2" x14ac:dyDescent="0.25">
      <c r="A2315" s="6">
        <v>39164</v>
      </c>
      <c r="B2315">
        <v>4.7384999999999994E-4</v>
      </c>
    </row>
    <row r="2316" spans="1:2" x14ac:dyDescent="0.25">
      <c r="A2316" s="6">
        <v>39167</v>
      </c>
      <c r="B2316">
        <v>4.7384999999999994E-4</v>
      </c>
    </row>
    <row r="2317" spans="1:2" x14ac:dyDescent="0.25">
      <c r="A2317" s="6">
        <v>39168</v>
      </c>
      <c r="B2317">
        <v>4.7384999999999994E-4</v>
      </c>
    </row>
    <row r="2318" spans="1:2" x14ac:dyDescent="0.25">
      <c r="A2318" s="6">
        <v>39169</v>
      </c>
      <c r="B2318">
        <v>4.7384999999999994E-4</v>
      </c>
    </row>
    <row r="2319" spans="1:2" x14ac:dyDescent="0.25">
      <c r="A2319" s="6">
        <v>39170</v>
      </c>
      <c r="B2319">
        <v>4.7384999999999994E-4</v>
      </c>
    </row>
    <row r="2320" spans="1:2" x14ac:dyDescent="0.25">
      <c r="A2320" s="6">
        <v>39171</v>
      </c>
      <c r="B2320">
        <v>4.7384999999999994E-4</v>
      </c>
    </row>
    <row r="2321" spans="1:2" x14ac:dyDescent="0.25">
      <c r="A2321" s="6">
        <v>39174</v>
      </c>
      <c r="B2321">
        <v>4.7384999999999994E-4</v>
      </c>
    </row>
    <row r="2322" spans="1:2" x14ac:dyDescent="0.25">
      <c r="A2322" s="6">
        <v>39175</v>
      </c>
      <c r="B2322">
        <v>4.7384999999999994E-4</v>
      </c>
    </row>
    <row r="2323" spans="1:2" x14ac:dyDescent="0.25">
      <c r="A2323" s="6">
        <v>39176</v>
      </c>
      <c r="B2323">
        <v>4.7384999999999994E-4</v>
      </c>
    </row>
    <row r="2324" spans="1:2" x14ac:dyDescent="0.25">
      <c r="A2324" s="6">
        <v>39177</v>
      </c>
      <c r="B2324">
        <v>4.7419999999999998E-4</v>
      </c>
    </row>
    <row r="2325" spans="1:2" x14ac:dyDescent="0.25">
      <c r="A2325" s="6">
        <v>39181</v>
      </c>
      <c r="B2325">
        <v>4.7384999999999994E-4</v>
      </c>
    </row>
    <row r="2326" spans="1:2" x14ac:dyDescent="0.25">
      <c r="A2326" s="6">
        <v>39182</v>
      </c>
      <c r="B2326">
        <v>4.7384999999999994E-4</v>
      </c>
    </row>
    <row r="2327" spans="1:2" x14ac:dyDescent="0.25">
      <c r="A2327" s="6">
        <v>39183</v>
      </c>
      <c r="B2327">
        <v>4.7384999999999994E-4</v>
      </c>
    </row>
    <row r="2328" spans="1:2" x14ac:dyDescent="0.25">
      <c r="A2328" s="6">
        <v>39184</v>
      </c>
      <c r="B2328">
        <v>4.7384999999999994E-4</v>
      </c>
    </row>
    <row r="2329" spans="1:2" x14ac:dyDescent="0.25">
      <c r="A2329" s="6">
        <v>39185</v>
      </c>
      <c r="B2329">
        <v>4.7384999999999994E-4</v>
      </c>
    </row>
    <row r="2330" spans="1:2" x14ac:dyDescent="0.25">
      <c r="A2330" s="6">
        <v>39188</v>
      </c>
      <c r="B2330">
        <v>4.7384999999999994E-4</v>
      </c>
    </row>
    <row r="2331" spans="1:2" x14ac:dyDescent="0.25">
      <c r="A2331" s="6">
        <v>39189</v>
      </c>
      <c r="B2331">
        <v>4.7350000000000002E-4</v>
      </c>
    </row>
    <row r="2332" spans="1:2" x14ac:dyDescent="0.25">
      <c r="A2332" s="6">
        <v>39190</v>
      </c>
      <c r="B2332">
        <v>4.7350000000000002E-4</v>
      </c>
    </row>
    <row r="2333" spans="1:2" x14ac:dyDescent="0.25">
      <c r="A2333" s="6">
        <v>39191</v>
      </c>
      <c r="B2333">
        <v>4.6503000000000001E-4</v>
      </c>
    </row>
    <row r="2334" spans="1:2" x14ac:dyDescent="0.25">
      <c r="A2334" s="6">
        <v>39192</v>
      </c>
      <c r="B2334">
        <v>4.6503000000000001E-4</v>
      </c>
    </row>
    <row r="2335" spans="1:2" x14ac:dyDescent="0.25">
      <c r="A2335" s="6">
        <v>39195</v>
      </c>
      <c r="B2335">
        <v>4.6503000000000001E-4</v>
      </c>
    </row>
    <row r="2336" spans="1:2" x14ac:dyDescent="0.25">
      <c r="A2336" s="6">
        <v>39196</v>
      </c>
      <c r="B2336">
        <v>4.6503000000000001E-4</v>
      </c>
    </row>
    <row r="2337" spans="1:2" x14ac:dyDescent="0.25">
      <c r="A2337" s="6">
        <v>39197</v>
      </c>
      <c r="B2337">
        <v>4.6503000000000001E-4</v>
      </c>
    </row>
    <row r="2338" spans="1:2" x14ac:dyDescent="0.25">
      <c r="A2338" s="6">
        <v>39198</v>
      </c>
      <c r="B2338">
        <v>4.6503000000000001E-4</v>
      </c>
    </row>
    <row r="2339" spans="1:2" x14ac:dyDescent="0.25">
      <c r="A2339" s="6">
        <v>39199</v>
      </c>
      <c r="B2339">
        <v>4.6503000000000001E-4</v>
      </c>
    </row>
    <row r="2340" spans="1:2" x14ac:dyDescent="0.25">
      <c r="A2340" s="6">
        <v>39202</v>
      </c>
      <c r="B2340">
        <v>4.6503000000000001E-4</v>
      </c>
    </row>
    <row r="2341" spans="1:2" x14ac:dyDescent="0.25">
      <c r="A2341" s="6">
        <v>39204</v>
      </c>
      <c r="B2341">
        <v>4.6503000000000001E-4</v>
      </c>
    </row>
    <row r="2342" spans="1:2" x14ac:dyDescent="0.25">
      <c r="A2342" s="6">
        <v>39205</v>
      </c>
      <c r="B2342">
        <v>4.6503000000000001E-4</v>
      </c>
    </row>
    <row r="2343" spans="1:2" x14ac:dyDescent="0.25">
      <c r="A2343" s="6">
        <v>39206</v>
      </c>
      <c r="B2343">
        <v>4.6503000000000001E-4</v>
      </c>
    </row>
    <row r="2344" spans="1:2" x14ac:dyDescent="0.25">
      <c r="A2344" s="6">
        <v>39209</v>
      </c>
      <c r="B2344">
        <v>4.6503000000000001E-4</v>
      </c>
    </row>
    <row r="2345" spans="1:2" x14ac:dyDescent="0.25">
      <c r="A2345" s="6">
        <v>39210</v>
      </c>
      <c r="B2345">
        <v>4.6503000000000001E-4</v>
      </c>
    </row>
    <row r="2346" spans="1:2" x14ac:dyDescent="0.25">
      <c r="A2346" s="6">
        <v>39211</v>
      </c>
      <c r="B2346">
        <v>4.6503000000000001E-4</v>
      </c>
    </row>
    <row r="2347" spans="1:2" x14ac:dyDescent="0.25">
      <c r="A2347" s="6">
        <v>39212</v>
      </c>
      <c r="B2347">
        <v>4.6503000000000001E-4</v>
      </c>
    </row>
    <row r="2348" spans="1:2" x14ac:dyDescent="0.25">
      <c r="A2348" s="6">
        <v>39213</v>
      </c>
      <c r="B2348">
        <v>4.6503000000000001E-4</v>
      </c>
    </row>
    <row r="2349" spans="1:2" x14ac:dyDescent="0.25">
      <c r="A2349" s="6">
        <v>39216</v>
      </c>
      <c r="B2349">
        <v>4.6503000000000001E-4</v>
      </c>
    </row>
    <row r="2350" spans="1:2" x14ac:dyDescent="0.25">
      <c r="A2350" s="6">
        <v>39217</v>
      </c>
      <c r="B2350">
        <v>4.6503000000000001E-4</v>
      </c>
    </row>
    <row r="2351" spans="1:2" x14ac:dyDescent="0.25">
      <c r="A2351" s="6">
        <v>39218</v>
      </c>
      <c r="B2351">
        <v>4.6503000000000001E-4</v>
      </c>
    </row>
    <row r="2352" spans="1:2" x14ac:dyDescent="0.25">
      <c r="A2352" s="6">
        <v>39219</v>
      </c>
      <c r="B2352">
        <v>4.6503000000000001E-4</v>
      </c>
    </row>
    <row r="2353" spans="1:2" x14ac:dyDescent="0.25">
      <c r="A2353" s="6">
        <v>39220</v>
      </c>
      <c r="B2353">
        <v>4.6503000000000001E-4</v>
      </c>
    </row>
    <row r="2354" spans="1:2" x14ac:dyDescent="0.25">
      <c r="A2354" s="6">
        <v>39223</v>
      </c>
      <c r="B2354">
        <v>4.6503000000000001E-4</v>
      </c>
    </row>
    <row r="2355" spans="1:2" x14ac:dyDescent="0.25">
      <c r="A2355" s="6">
        <v>39224</v>
      </c>
      <c r="B2355">
        <v>4.6503000000000001E-4</v>
      </c>
    </row>
    <row r="2356" spans="1:2" x14ac:dyDescent="0.25">
      <c r="A2356" s="6">
        <v>39225</v>
      </c>
      <c r="B2356">
        <v>4.6503000000000001E-4</v>
      </c>
    </row>
    <row r="2357" spans="1:2" x14ac:dyDescent="0.25">
      <c r="A2357" s="6">
        <v>39226</v>
      </c>
      <c r="B2357">
        <v>4.6503000000000001E-4</v>
      </c>
    </row>
    <row r="2358" spans="1:2" x14ac:dyDescent="0.25">
      <c r="A2358" s="6">
        <v>39227</v>
      </c>
      <c r="B2358">
        <v>4.6503000000000001E-4</v>
      </c>
    </row>
    <row r="2359" spans="1:2" x14ac:dyDescent="0.25">
      <c r="A2359" s="6">
        <v>39230</v>
      </c>
      <c r="B2359">
        <v>4.6503000000000001E-4</v>
      </c>
    </row>
    <row r="2360" spans="1:2" x14ac:dyDescent="0.25">
      <c r="A2360" s="6">
        <v>39231</v>
      </c>
      <c r="B2360">
        <v>4.6503000000000001E-4</v>
      </c>
    </row>
    <row r="2361" spans="1:2" x14ac:dyDescent="0.25">
      <c r="A2361" s="6">
        <v>39232</v>
      </c>
      <c r="B2361">
        <v>4.6503000000000001E-4</v>
      </c>
    </row>
    <row r="2362" spans="1:2" x14ac:dyDescent="0.25">
      <c r="A2362" s="6">
        <v>39233</v>
      </c>
      <c r="B2362">
        <v>4.6503000000000001E-4</v>
      </c>
    </row>
    <row r="2363" spans="1:2" x14ac:dyDescent="0.25">
      <c r="A2363" s="6">
        <v>39234</v>
      </c>
      <c r="B2363">
        <v>4.6503000000000001E-4</v>
      </c>
    </row>
    <row r="2364" spans="1:2" x14ac:dyDescent="0.25">
      <c r="A2364" s="6">
        <v>39237</v>
      </c>
      <c r="B2364">
        <v>4.6503000000000001E-4</v>
      </c>
    </row>
    <row r="2365" spans="1:2" x14ac:dyDescent="0.25">
      <c r="A2365" s="6">
        <v>39238</v>
      </c>
      <c r="B2365">
        <v>4.6503000000000001E-4</v>
      </c>
    </row>
    <row r="2366" spans="1:2" x14ac:dyDescent="0.25">
      <c r="A2366" s="6">
        <v>39239</v>
      </c>
      <c r="B2366">
        <v>4.6503000000000001E-4</v>
      </c>
    </row>
    <row r="2367" spans="1:2" x14ac:dyDescent="0.25">
      <c r="A2367" s="6">
        <v>39241</v>
      </c>
      <c r="B2367">
        <v>4.4734000000000001E-4</v>
      </c>
    </row>
    <row r="2368" spans="1:2" x14ac:dyDescent="0.25">
      <c r="A2368" s="6">
        <v>39244</v>
      </c>
      <c r="B2368">
        <v>4.4734000000000001E-4</v>
      </c>
    </row>
    <row r="2369" spans="1:2" x14ac:dyDescent="0.25">
      <c r="A2369" s="6">
        <v>39245</v>
      </c>
      <c r="B2369">
        <v>4.4734000000000001E-4</v>
      </c>
    </row>
    <row r="2370" spans="1:2" x14ac:dyDescent="0.25">
      <c r="A2370" s="6">
        <v>39246</v>
      </c>
      <c r="B2370">
        <v>4.4734000000000001E-4</v>
      </c>
    </row>
    <row r="2371" spans="1:2" x14ac:dyDescent="0.25">
      <c r="A2371" s="6">
        <v>39247</v>
      </c>
      <c r="B2371">
        <v>4.4734000000000001E-4</v>
      </c>
    </row>
    <row r="2372" spans="1:2" x14ac:dyDescent="0.25">
      <c r="A2372" s="6">
        <v>39248</v>
      </c>
      <c r="B2372">
        <v>4.4734000000000001E-4</v>
      </c>
    </row>
    <row r="2373" spans="1:2" x14ac:dyDescent="0.25">
      <c r="A2373" s="6">
        <v>39251</v>
      </c>
      <c r="B2373">
        <v>4.4734000000000001E-4</v>
      </c>
    </row>
    <row r="2374" spans="1:2" x14ac:dyDescent="0.25">
      <c r="A2374" s="6">
        <v>39252</v>
      </c>
      <c r="B2374">
        <v>4.4734000000000001E-4</v>
      </c>
    </row>
    <row r="2375" spans="1:2" x14ac:dyDescent="0.25">
      <c r="A2375" s="6">
        <v>39253</v>
      </c>
      <c r="B2375">
        <v>4.4734000000000001E-4</v>
      </c>
    </row>
    <row r="2376" spans="1:2" x14ac:dyDescent="0.25">
      <c r="A2376" s="6">
        <v>39254</v>
      </c>
      <c r="B2376">
        <v>4.4734000000000001E-4</v>
      </c>
    </row>
    <row r="2377" spans="1:2" x14ac:dyDescent="0.25">
      <c r="A2377" s="6">
        <v>39255</v>
      </c>
      <c r="B2377">
        <v>4.4734000000000001E-4</v>
      </c>
    </row>
    <row r="2378" spans="1:2" x14ac:dyDescent="0.25">
      <c r="A2378" s="6">
        <v>39258</v>
      </c>
      <c r="B2378">
        <v>4.4734000000000001E-4</v>
      </c>
    </row>
    <row r="2379" spans="1:2" x14ac:dyDescent="0.25">
      <c r="A2379" s="6">
        <v>39259</v>
      </c>
      <c r="B2379">
        <v>4.4734000000000001E-4</v>
      </c>
    </row>
    <row r="2380" spans="1:2" x14ac:dyDescent="0.25">
      <c r="A2380" s="6">
        <v>39260</v>
      </c>
      <c r="B2380">
        <v>4.4734000000000001E-4</v>
      </c>
    </row>
    <row r="2381" spans="1:2" x14ac:dyDescent="0.25">
      <c r="A2381" s="6">
        <v>39261</v>
      </c>
      <c r="B2381">
        <v>4.4734000000000001E-4</v>
      </c>
    </row>
    <row r="2382" spans="1:2" x14ac:dyDescent="0.25">
      <c r="A2382" s="6">
        <v>39262</v>
      </c>
      <c r="B2382">
        <v>4.4734000000000001E-4</v>
      </c>
    </row>
    <row r="2383" spans="1:2" x14ac:dyDescent="0.25">
      <c r="A2383" s="6">
        <v>39265</v>
      </c>
      <c r="B2383">
        <v>4.4734000000000001E-4</v>
      </c>
    </row>
    <row r="2384" spans="1:2" x14ac:dyDescent="0.25">
      <c r="A2384" s="6">
        <v>39266</v>
      </c>
      <c r="B2384">
        <v>4.4734000000000001E-4</v>
      </c>
    </row>
    <row r="2385" spans="1:2" x14ac:dyDescent="0.25">
      <c r="A2385" s="6">
        <v>39267</v>
      </c>
      <c r="B2385">
        <v>4.4734000000000001E-4</v>
      </c>
    </row>
    <row r="2386" spans="1:2" x14ac:dyDescent="0.25">
      <c r="A2386" s="6">
        <v>39268</v>
      </c>
      <c r="B2386">
        <v>4.4734000000000001E-4</v>
      </c>
    </row>
    <row r="2387" spans="1:2" x14ac:dyDescent="0.25">
      <c r="A2387" s="6">
        <v>39269</v>
      </c>
      <c r="B2387">
        <v>4.4734000000000001E-4</v>
      </c>
    </row>
    <row r="2388" spans="1:2" x14ac:dyDescent="0.25">
      <c r="A2388" s="6">
        <v>39272</v>
      </c>
      <c r="B2388">
        <v>4.4734000000000001E-4</v>
      </c>
    </row>
    <row r="2389" spans="1:2" x14ac:dyDescent="0.25">
      <c r="A2389" s="6">
        <v>39273</v>
      </c>
      <c r="B2389">
        <v>4.4734000000000001E-4</v>
      </c>
    </row>
    <row r="2390" spans="1:2" x14ac:dyDescent="0.25">
      <c r="A2390" s="6">
        <v>39274</v>
      </c>
      <c r="B2390">
        <v>4.4734000000000001E-4</v>
      </c>
    </row>
    <row r="2391" spans="1:2" x14ac:dyDescent="0.25">
      <c r="A2391" s="6">
        <v>39275</v>
      </c>
      <c r="B2391">
        <v>4.4734000000000001E-4</v>
      </c>
    </row>
    <row r="2392" spans="1:2" x14ac:dyDescent="0.25">
      <c r="A2392" s="6">
        <v>39276</v>
      </c>
      <c r="B2392">
        <v>4.4734000000000001E-4</v>
      </c>
    </row>
    <row r="2393" spans="1:2" x14ac:dyDescent="0.25">
      <c r="A2393" s="6">
        <v>39279</v>
      </c>
      <c r="B2393">
        <v>4.4734000000000001E-4</v>
      </c>
    </row>
    <row r="2394" spans="1:2" x14ac:dyDescent="0.25">
      <c r="A2394" s="6">
        <v>39280</v>
      </c>
      <c r="B2394">
        <v>4.4734000000000001E-4</v>
      </c>
    </row>
    <row r="2395" spans="1:2" x14ac:dyDescent="0.25">
      <c r="A2395" s="6">
        <v>39281</v>
      </c>
      <c r="B2395">
        <v>4.4734000000000001E-4</v>
      </c>
    </row>
    <row r="2396" spans="1:2" x14ac:dyDescent="0.25">
      <c r="A2396" s="6">
        <v>39282</v>
      </c>
      <c r="B2396">
        <v>4.2956E-4</v>
      </c>
    </row>
    <row r="2397" spans="1:2" x14ac:dyDescent="0.25">
      <c r="A2397" s="6">
        <v>39283</v>
      </c>
      <c r="B2397">
        <v>4.2956E-4</v>
      </c>
    </row>
    <row r="2398" spans="1:2" x14ac:dyDescent="0.25">
      <c r="A2398" s="6">
        <v>39286</v>
      </c>
      <c r="B2398">
        <v>4.2956E-4</v>
      </c>
    </row>
    <row r="2399" spans="1:2" x14ac:dyDescent="0.25">
      <c r="A2399" s="6">
        <v>39287</v>
      </c>
      <c r="B2399">
        <v>4.2956E-4</v>
      </c>
    </row>
    <row r="2400" spans="1:2" x14ac:dyDescent="0.25">
      <c r="A2400" s="6">
        <v>39288</v>
      </c>
      <c r="B2400">
        <v>4.2956E-4</v>
      </c>
    </row>
    <row r="2401" spans="1:2" x14ac:dyDescent="0.25">
      <c r="A2401" s="6">
        <v>39289</v>
      </c>
      <c r="B2401">
        <v>4.2956E-4</v>
      </c>
    </row>
    <row r="2402" spans="1:2" x14ac:dyDescent="0.25">
      <c r="A2402" s="6">
        <v>39290</v>
      </c>
      <c r="B2402">
        <v>4.2956E-4</v>
      </c>
    </row>
    <row r="2403" spans="1:2" x14ac:dyDescent="0.25">
      <c r="A2403" s="6">
        <v>39293</v>
      </c>
      <c r="B2403">
        <v>4.2956E-4</v>
      </c>
    </row>
    <row r="2404" spans="1:2" x14ac:dyDescent="0.25">
      <c r="A2404" s="6">
        <v>39294</v>
      </c>
      <c r="B2404">
        <v>4.2956E-4</v>
      </c>
    </row>
    <row r="2405" spans="1:2" x14ac:dyDescent="0.25">
      <c r="A2405" s="6">
        <v>39295</v>
      </c>
      <c r="B2405">
        <v>4.2956E-4</v>
      </c>
    </row>
    <row r="2406" spans="1:2" x14ac:dyDescent="0.25">
      <c r="A2406" s="6">
        <v>39296</v>
      </c>
      <c r="B2406">
        <v>4.2956E-4</v>
      </c>
    </row>
    <row r="2407" spans="1:2" x14ac:dyDescent="0.25">
      <c r="A2407" s="6">
        <v>39297</v>
      </c>
      <c r="B2407">
        <v>4.2956E-4</v>
      </c>
    </row>
    <row r="2408" spans="1:2" x14ac:dyDescent="0.25">
      <c r="A2408" s="6">
        <v>39300</v>
      </c>
      <c r="B2408">
        <v>4.2956E-4</v>
      </c>
    </row>
    <row r="2409" spans="1:2" x14ac:dyDescent="0.25">
      <c r="A2409" s="6">
        <v>39301</v>
      </c>
      <c r="B2409">
        <v>4.2956E-4</v>
      </c>
    </row>
    <row r="2410" spans="1:2" x14ac:dyDescent="0.25">
      <c r="A2410" s="6">
        <v>39302</v>
      </c>
      <c r="B2410">
        <v>4.2956E-4</v>
      </c>
    </row>
    <row r="2411" spans="1:2" x14ac:dyDescent="0.25">
      <c r="A2411" s="6">
        <v>39303</v>
      </c>
      <c r="B2411">
        <v>4.2956E-4</v>
      </c>
    </row>
    <row r="2412" spans="1:2" x14ac:dyDescent="0.25">
      <c r="A2412" s="6">
        <v>39304</v>
      </c>
      <c r="B2412">
        <v>4.2956E-4</v>
      </c>
    </row>
    <row r="2413" spans="1:2" x14ac:dyDescent="0.25">
      <c r="A2413" s="6">
        <v>39307</v>
      </c>
      <c r="B2413">
        <v>4.2921000000000002E-4</v>
      </c>
    </row>
    <row r="2414" spans="1:2" x14ac:dyDescent="0.25">
      <c r="A2414" s="6">
        <v>39308</v>
      </c>
      <c r="B2414">
        <v>4.2956E-4</v>
      </c>
    </row>
    <row r="2415" spans="1:2" x14ac:dyDescent="0.25">
      <c r="A2415" s="6">
        <v>39309</v>
      </c>
      <c r="B2415">
        <v>4.2956E-4</v>
      </c>
    </row>
    <row r="2416" spans="1:2" x14ac:dyDescent="0.25">
      <c r="A2416" s="6">
        <v>39310</v>
      </c>
      <c r="B2416">
        <v>4.2956E-4</v>
      </c>
    </row>
    <row r="2417" spans="1:2" x14ac:dyDescent="0.25">
      <c r="A2417" s="6">
        <v>39311</v>
      </c>
      <c r="B2417">
        <v>4.2956E-4</v>
      </c>
    </row>
    <row r="2418" spans="1:2" x14ac:dyDescent="0.25">
      <c r="A2418" s="6">
        <v>39314</v>
      </c>
      <c r="B2418">
        <v>4.2956E-4</v>
      </c>
    </row>
    <row r="2419" spans="1:2" x14ac:dyDescent="0.25">
      <c r="A2419" s="6">
        <v>39315</v>
      </c>
      <c r="B2419">
        <v>4.2956E-4</v>
      </c>
    </row>
    <row r="2420" spans="1:2" x14ac:dyDescent="0.25">
      <c r="A2420" s="6">
        <v>39316</v>
      </c>
      <c r="B2420">
        <v>4.2956E-4</v>
      </c>
    </row>
    <row r="2421" spans="1:2" x14ac:dyDescent="0.25">
      <c r="A2421" s="6">
        <v>39317</v>
      </c>
      <c r="B2421">
        <v>4.2956E-4</v>
      </c>
    </row>
    <row r="2422" spans="1:2" x14ac:dyDescent="0.25">
      <c r="A2422" s="6">
        <v>39318</v>
      </c>
      <c r="B2422">
        <v>4.2956E-4</v>
      </c>
    </row>
    <row r="2423" spans="1:2" x14ac:dyDescent="0.25">
      <c r="A2423" s="6">
        <v>39321</v>
      </c>
      <c r="B2423">
        <v>4.2956E-4</v>
      </c>
    </row>
    <row r="2424" spans="1:2" x14ac:dyDescent="0.25">
      <c r="A2424" s="6">
        <v>39322</v>
      </c>
      <c r="B2424">
        <v>4.2956E-4</v>
      </c>
    </row>
    <row r="2425" spans="1:2" x14ac:dyDescent="0.25">
      <c r="A2425" s="6">
        <v>39323</v>
      </c>
      <c r="B2425">
        <v>4.2956E-4</v>
      </c>
    </row>
    <row r="2426" spans="1:2" x14ac:dyDescent="0.25">
      <c r="A2426" s="6">
        <v>39324</v>
      </c>
      <c r="B2426">
        <v>4.2956E-4</v>
      </c>
    </row>
    <row r="2427" spans="1:2" x14ac:dyDescent="0.25">
      <c r="A2427" s="6">
        <v>39325</v>
      </c>
      <c r="B2427">
        <v>4.2956E-4</v>
      </c>
    </row>
    <row r="2428" spans="1:2" x14ac:dyDescent="0.25">
      <c r="A2428" s="6">
        <v>39328</v>
      </c>
      <c r="B2428">
        <v>4.2956E-4</v>
      </c>
    </row>
    <row r="2429" spans="1:2" x14ac:dyDescent="0.25">
      <c r="A2429" s="6">
        <v>39329</v>
      </c>
      <c r="B2429">
        <v>4.2956E-4</v>
      </c>
    </row>
    <row r="2430" spans="1:2" x14ac:dyDescent="0.25">
      <c r="A2430" s="6">
        <v>39330</v>
      </c>
      <c r="B2430">
        <v>4.2956E-4</v>
      </c>
    </row>
    <row r="2431" spans="1:2" x14ac:dyDescent="0.25">
      <c r="A2431" s="6">
        <v>39331</v>
      </c>
      <c r="B2431">
        <v>4.2065000000000001E-4</v>
      </c>
    </row>
    <row r="2432" spans="1:2" x14ac:dyDescent="0.25">
      <c r="A2432" s="6">
        <v>39335</v>
      </c>
      <c r="B2432">
        <v>4.2065000000000001E-4</v>
      </c>
    </row>
    <row r="2433" spans="1:2" x14ac:dyDescent="0.25">
      <c r="A2433" s="6">
        <v>39336</v>
      </c>
      <c r="B2433">
        <v>4.2065000000000001E-4</v>
      </c>
    </row>
    <row r="2434" spans="1:2" x14ac:dyDescent="0.25">
      <c r="A2434" s="6">
        <v>39337</v>
      </c>
      <c r="B2434">
        <v>4.2065000000000001E-4</v>
      </c>
    </row>
    <row r="2435" spans="1:2" x14ac:dyDescent="0.25">
      <c r="A2435" s="6">
        <v>39338</v>
      </c>
      <c r="B2435">
        <v>4.2065000000000001E-4</v>
      </c>
    </row>
    <row r="2436" spans="1:2" x14ac:dyDescent="0.25">
      <c r="A2436" s="6">
        <v>39339</v>
      </c>
      <c r="B2436">
        <v>4.2065000000000001E-4</v>
      </c>
    </row>
    <row r="2437" spans="1:2" x14ac:dyDescent="0.25">
      <c r="A2437" s="6">
        <v>39342</v>
      </c>
      <c r="B2437">
        <v>4.2065000000000001E-4</v>
      </c>
    </row>
    <row r="2438" spans="1:2" x14ac:dyDescent="0.25">
      <c r="A2438" s="6">
        <v>39343</v>
      </c>
      <c r="B2438">
        <v>4.2065000000000001E-4</v>
      </c>
    </row>
    <row r="2439" spans="1:2" x14ac:dyDescent="0.25">
      <c r="A2439" s="6">
        <v>39344</v>
      </c>
      <c r="B2439">
        <v>4.2065000000000001E-4</v>
      </c>
    </row>
    <row r="2440" spans="1:2" x14ac:dyDescent="0.25">
      <c r="A2440" s="6">
        <v>39345</v>
      </c>
      <c r="B2440">
        <v>4.2065000000000001E-4</v>
      </c>
    </row>
    <row r="2441" spans="1:2" x14ac:dyDescent="0.25">
      <c r="A2441" s="6">
        <v>39346</v>
      </c>
      <c r="B2441">
        <v>4.2065000000000001E-4</v>
      </c>
    </row>
    <row r="2442" spans="1:2" x14ac:dyDescent="0.25">
      <c r="A2442" s="6">
        <v>39349</v>
      </c>
      <c r="B2442">
        <v>4.2065000000000001E-4</v>
      </c>
    </row>
    <row r="2443" spans="1:2" x14ac:dyDescent="0.25">
      <c r="A2443" s="6">
        <v>39350</v>
      </c>
      <c r="B2443">
        <v>4.2065000000000001E-4</v>
      </c>
    </row>
    <row r="2444" spans="1:2" x14ac:dyDescent="0.25">
      <c r="A2444" s="6">
        <v>39351</v>
      </c>
      <c r="B2444">
        <v>4.2065000000000001E-4</v>
      </c>
    </row>
    <row r="2445" spans="1:2" x14ac:dyDescent="0.25">
      <c r="A2445" s="6">
        <v>39352</v>
      </c>
      <c r="B2445">
        <v>4.2065000000000001E-4</v>
      </c>
    </row>
    <row r="2446" spans="1:2" x14ac:dyDescent="0.25">
      <c r="A2446" s="6">
        <v>39353</v>
      </c>
      <c r="B2446">
        <v>4.2065000000000001E-4</v>
      </c>
    </row>
    <row r="2447" spans="1:2" x14ac:dyDescent="0.25">
      <c r="A2447" s="6">
        <v>39356</v>
      </c>
      <c r="B2447">
        <v>4.2065000000000001E-4</v>
      </c>
    </row>
    <row r="2448" spans="1:2" x14ac:dyDescent="0.25">
      <c r="A2448" s="6">
        <v>39357</v>
      </c>
      <c r="B2448">
        <v>4.2065000000000001E-4</v>
      </c>
    </row>
    <row r="2449" spans="1:2" x14ac:dyDescent="0.25">
      <c r="A2449" s="6">
        <v>39358</v>
      </c>
      <c r="B2449">
        <v>4.2065000000000001E-4</v>
      </c>
    </row>
    <row r="2450" spans="1:2" x14ac:dyDescent="0.25">
      <c r="A2450" s="6">
        <v>39359</v>
      </c>
      <c r="B2450">
        <v>4.2065000000000001E-4</v>
      </c>
    </row>
    <row r="2451" spans="1:2" x14ac:dyDescent="0.25">
      <c r="A2451" s="6">
        <v>39360</v>
      </c>
      <c r="B2451">
        <v>4.2065000000000001E-4</v>
      </c>
    </row>
    <row r="2452" spans="1:2" x14ac:dyDescent="0.25">
      <c r="A2452" s="6">
        <v>39363</v>
      </c>
      <c r="B2452">
        <v>4.2065000000000001E-4</v>
      </c>
    </row>
    <row r="2453" spans="1:2" x14ac:dyDescent="0.25">
      <c r="A2453" s="6">
        <v>39364</v>
      </c>
      <c r="B2453">
        <v>4.2065000000000001E-4</v>
      </c>
    </row>
    <row r="2454" spans="1:2" x14ac:dyDescent="0.25">
      <c r="A2454" s="6">
        <v>39365</v>
      </c>
      <c r="B2454">
        <v>4.2065000000000001E-4</v>
      </c>
    </row>
    <row r="2455" spans="1:2" x14ac:dyDescent="0.25">
      <c r="A2455" s="6">
        <v>39366</v>
      </c>
      <c r="B2455">
        <v>4.2065000000000001E-4</v>
      </c>
    </row>
    <row r="2456" spans="1:2" x14ac:dyDescent="0.25">
      <c r="A2456" s="6">
        <v>39370</v>
      </c>
      <c r="B2456">
        <v>4.2065000000000001E-4</v>
      </c>
    </row>
    <row r="2457" spans="1:2" x14ac:dyDescent="0.25">
      <c r="A2457" s="6">
        <v>39371</v>
      </c>
      <c r="B2457">
        <v>4.2065000000000001E-4</v>
      </c>
    </row>
    <row r="2458" spans="1:2" x14ac:dyDescent="0.25">
      <c r="A2458" s="6">
        <v>39372</v>
      </c>
      <c r="B2458">
        <v>4.2065000000000001E-4</v>
      </c>
    </row>
    <row r="2459" spans="1:2" x14ac:dyDescent="0.25">
      <c r="A2459" s="6">
        <v>39373</v>
      </c>
      <c r="B2459">
        <v>4.2065000000000001E-4</v>
      </c>
    </row>
    <row r="2460" spans="1:2" x14ac:dyDescent="0.25">
      <c r="A2460" s="6">
        <v>39374</v>
      </c>
      <c r="B2460">
        <v>4.2065000000000001E-4</v>
      </c>
    </row>
    <row r="2461" spans="1:2" x14ac:dyDescent="0.25">
      <c r="A2461" s="6">
        <v>39377</v>
      </c>
      <c r="B2461">
        <v>4.2065000000000001E-4</v>
      </c>
    </row>
    <row r="2462" spans="1:2" x14ac:dyDescent="0.25">
      <c r="A2462" s="6">
        <v>39378</v>
      </c>
      <c r="B2462">
        <v>4.2065000000000001E-4</v>
      </c>
    </row>
    <row r="2463" spans="1:2" x14ac:dyDescent="0.25">
      <c r="A2463" s="6">
        <v>39379</v>
      </c>
      <c r="B2463">
        <v>4.2065000000000001E-4</v>
      </c>
    </row>
    <row r="2464" spans="1:2" x14ac:dyDescent="0.25">
      <c r="A2464" s="6">
        <v>39380</v>
      </c>
      <c r="B2464">
        <v>4.2065000000000001E-4</v>
      </c>
    </row>
    <row r="2465" spans="1:2" x14ac:dyDescent="0.25">
      <c r="A2465" s="6">
        <v>39381</v>
      </c>
      <c r="B2465">
        <v>4.2065000000000001E-4</v>
      </c>
    </row>
    <row r="2466" spans="1:2" x14ac:dyDescent="0.25">
      <c r="A2466" s="6">
        <v>39384</v>
      </c>
      <c r="B2466">
        <v>4.2065000000000001E-4</v>
      </c>
    </row>
    <row r="2467" spans="1:2" x14ac:dyDescent="0.25">
      <c r="A2467" s="6">
        <v>39385</v>
      </c>
      <c r="B2467">
        <v>4.2028999999999998E-4</v>
      </c>
    </row>
    <row r="2468" spans="1:2" x14ac:dyDescent="0.25">
      <c r="A2468" s="6">
        <v>39386</v>
      </c>
      <c r="B2468">
        <v>4.2065000000000001E-4</v>
      </c>
    </row>
    <row r="2469" spans="1:2" x14ac:dyDescent="0.25">
      <c r="A2469" s="6">
        <v>39387</v>
      </c>
      <c r="B2469">
        <v>4.2065000000000001E-4</v>
      </c>
    </row>
    <row r="2470" spans="1:2" x14ac:dyDescent="0.25">
      <c r="A2470" s="6">
        <v>39391</v>
      </c>
      <c r="B2470">
        <v>4.2065000000000001E-4</v>
      </c>
    </row>
    <row r="2471" spans="1:2" x14ac:dyDescent="0.25">
      <c r="A2471" s="6">
        <v>39392</v>
      </c>
      <c r="B2471">
        <v>4.2065000000000001E-4</v>
      </c>
    </row>
    <row r="2472" spans="1:2" x14ac:dyDescent="0.25">
      <c r="A2472" s="6">
        <v>39393</v>
      </c>
      <c r="B2472">
        <v>4.2065000000000001E-4</v>
      </c>
    </row>
    <row r="2473" spans="1:2" x14ac:dyDescent="0.25">
      <c r="A2473" s="6">
        <v>39394</v>
      </c>
      <c r="B2473">
        <v>4.2065000000000001E-4</v>
      </c>
    </row>
    <row r="2474" spans="1:2" x14ac:dyDescent="0.25">
      <c r="A2474" s="6">
        <v>39395</v>
      </c>
      <c r="B2474">
        <v>4.2065000000000001E-4</v>
      </c>
    </row>
    <row r="2475" spans="1:2" x14ac:dyDescent="0.25">
      <c r="A2475" s="6">
        <v>39398</v>
      </c>
      <c r="B2475">
        <v>4.2065000000000001E-4</v>
      </c>
    </row>
    <row r="2476" spans="1:2" x14ac:dyDescent="0.25">
      <c r="A2476" s="6">
        <v>39399</v>
      </c>
      <c r="B2476">
        <v>4.2065000000000001E-4</v>
      </c>
    </row>
    <row r="2477" spans="1:2" x14ac:dyDescent="0.25">
      <c r="A2477" s="6">
        <v>39400</v>
      </c>
      <c r="B2477">
        <v>4.2065000000000001E-4</v>
      </c>
    </row>
    <row r="2478" spans="1:2" x14ac:dyDescent="0.25">
      <c r="A2478" s="6">
        <v>39402</v>
      </c>
      <c r="B2478">
        <v>4.2065000000000001E-4</v>
      </c>
    </row>
    <row r="2479" spans="1:2" x14ac:dyDescent="0.25">
      <c r="A2479" s="6">
        <v>39405</v>
      </c>
      <c r="B2479">
        <v>4.2065000000000001E-4</v>
      </c>
    </row>
    <row r="2480" spans="1:2" x14ac:dyDescent="0.25">
      <c r="A2480" s="6">
        <v>39406</v>
      </c>
      <c r="B2480">
        <v>4.2065000000000001E-4</v>
      </c>
    </row>
    <row r="2481" spans="1:2" x14ac:dyDescent="0.25">
      <c r="A2481" s="6">
        <v>39407</v>
      </c>
      <c r="B2481">
        <v>4.2065000000000001E-4</v>
      </c>
    </row>
    <row r="2482" spans="1:2" x14ac:dyDescent="0.25">
      <c r="A2482" s="6">
        <v>39408</v>
      </c>
      <c r="B2482">
        <v>4.2065000000000001E-4</v>
      </c>
    </row>
    <row r="2483" spans="1:2" x14ac:dyDescent="0.25">
      <c r="A2483" s="6">
        <v>39409</v>
      </c>
      <c r="B2483">
        <v>4.2065000000000001E-4</v>
      </c>
    </row>
    <row r="2484" spans="1:2" x14ac:dyDescent="0.25">
      <c r="A2484" s="6">
        <v>39412</v>
      </c>
      <c r="B2484">
        <v>4.2065000000000001E-4</v>
      </c>
    </row>
    <row r="2485" spans="1:2" x14ac:dyDescent="0.25">
      <c r="A2485" s="6">
        <v>39413</v>
      </c>
      <c r="B2485">
        <v>4.2065000000000001E-4</v>
      </c>
    </row>
    <row r="2486" spans="1:2" x14ac:dyDescent="0.25">
      <c r="A2486" s="6">
        <v>39414</v>
      </c>
      <c r="B2486">
        <v>4.2065000000000001E-4</v>
      </c>
    </row>
    <row r="2487" spans="1:2" x14ac:dyDescent="0.25">
      <c r="A2487" s="6">
        <v>39415</v>
      </c>
      <c r="B2487">
        <v>4.2065000000000001E-4</v>
      </c>
    </row>
    <row r="2488" spans="1:2" x14ac:dyDescent="0.25">
      <c r="A2488" s="6">
        <v>39416</v>
      </c>
      <c r="B2488">
        <v>4.2065000000000001E-4</v>
      </c>
    </row>
    <row r="2489" spans="1:2" x14ac:dyDescent="0.25">
      <c r="A2489" s="6">
        <v>39419</v>
      </c>
      <c r="B2489">
        <v>4.2065000000000001E-4</v>
      </c>
    </row>
    <row r="2490" spans="1:2" x14ac:dyDescent="0.25">
      <c r="A2490" s="6">
        <v>39420</v>
      </c>
      <c r="B2490">
        <v>4.2065000000000001E-4</v>
      </c>
    </row>
    <row r="2491" spans="1:2" x14ac:dyDescent="0.25">
      <c r="A2491" s="6">
        <v>39421</v>
      </c>
      <c r="B2491">
        <v>4.2065000000000001E-4</v>
      </c>
    </row>
    <row r="2492" spans="1:2" x14ac:dyDescent="0.25">
      <c r="A2492" s="6">
        <v>39422</v>
      </c>
      <c r="B2492">
        <v>4.2065000000000001E-4</v>
      </c>
    </row>
    <row r="2493" spans="1:2" x14ac:dyDescent="0.25">
      <c r="A2493" s="6">
        <v>39423</v>
      </c>
      <c r="B2493">
        <v>4.2065000000000001E-4</v>
      </c>
    </row>
    <row r="2494" spans="1:2" x14ac:dyDescent="0.25">
      <c r="A2494" s="6">
        <v>39426</v>
      </c>
      <c r="B2494">
        <v>4.2065000000000001E-4</v>
      </c>
    </row>
    <row r="2495" spans="1:2" x14ac:dyDescent="0.25">
      <c r="A2495" s="6">
        <v>39427</v>
      </c>
      <c r="B2495">
        <v>4.2065000000000001E-4</v>
      </c>
    </row>
    <row r="2496" spans="1:2" x14ac:dyDescent="0.25">
      <c r="A2496" s="6">
        <v>39428</v>
      </c>
      <c r="B2496">
        <v>4.2065000000000001E-4</v>
      </c>
    </row>
    <row r="2497" spans="1:2" x14ac:dyDescent="0.25">
      <c r="A2497" s="6">
        <v>39429</v>
      </c>
      <c r="B2497">
        <v>4.2065000000000001E-4</v>
      </c>
    </row>
    <row r="2498" spans="1:2" x14ac:dyDescent="0.25">
      <c r="A2498" s="6">
        <v>39430</v>
      </c>
      <c r="B2498">
        <v>4.2065000000000001E-4</v>
      </c>
    </row>
    <row r="2499" spans="1:2" x14ac:dyDescent="0.25">
      <c r="A2499" s="6">
        <v>39433</v>
      </c>
      <c r="B2499">
        <v>4.2065000000000001E-4</v>
      </c>
    </row>
    <row r="2500" spans="1:2" x14ac:dyDescent="0.25">
      <c r="A2500" s="6">
        <v>39434</v>
      </c>
      <c r="B2500">
        <v>4.2065000000000001E-4</v>
      </c>
    </row>
    <row r="2501" spans="1:2" x14ac:dyDescent="0.25">
      <c r="A2501" s="6">
        <v>39435</v>
      </c>
      <c r="B2501">
        <v>4.2065000000000001E-4</v>
      </c>
    </row>
    <row r="2502" spans="1:2" x14ac:dyDescent="0.25">
      <c r="A2502" s="6">
        <v>39436</v>
      </c>
      <c r="B2502">
        <v>4.2065000000000001E-4</v>
      </c>
    </row>
    <row r="2503" spans="1:2" x14ac:dyDescent="0.25">
      <c r="A2503" s="6">
        <v>39437</v>
      </c>
      <c r="B2503">
        <v>4.2065000000000001E-4</v>
      </c>
    </row>
    <row r="2504" spans="1:2" x14ac:dyDescent="0.25">
      <c r="A2504" s="6">
        <v>39440</v>
      </c>
      <c r="B2504">
        <v>4.2065000000000001E-4</v>
      </c>
    </row>
    <row r="2505" spans="1:2" x14ac:dyDescent="0.25">
      <c r="A2505" s="6">
        <v>39442</v>
      </c>
      <c r="B2505">
        <v>4.2065000000000001E-4</v>
      </c>
    </row>
    <row r="2506" spans="1:2" x14ac:dyDescent="0.25">
      <c r="A2506" s="6">
        <v>39443</v>
      </c>
      <c r="B2506">
        <v>4.2065000000000001E-4</v>
      </c>
    </row>
    <row r="2507" spans="1:2" x14ac:dyDescent="0.25">
      <c r="A2507" s="6">
        <v>39444</v>
      </c>
      <c r="B2507">
        <v>4.2065000000000001E-4</v>
      </c>
    </row>
    <row r="2508" spans="1:2" x14ac:dyDescent="0.25">
      <c r="A2508" s="6">
        <v>39447</v>
      </c>
      <c r="B2508">
        <v>4.2065000000000001E-4</v>
      </c>
    </row>
    <row r="2509" spans="1:2" x14ac:dyDescent="0.25">
      <c r="A2509" s="6">
        <v>39449</v>
      </c>
      <c r="B2509">
        <v>4.2065000000000001E-4</v>
      </c>
    </row>
    <row r="2510" spans="1:2" x14ac:dyDescent="0.25">
      <c r="A2510" s="6">
        <v>39450</v>
      </c>
      <c r="B2510">
        <v>4.2065000000000001E-4</v>
      </c>
    </row>
    <row r="2511" spans="1:2" x14ac:dyDescent="0.25">
      <c r="A2511" s="6">
        <v>39451</v>
      </c>
      <c r="B2511">
        <v>4.2065000000000001E-4</v>
      </c>
    </row>
    <row r="2512" spans="1:2" x14ac:dyDescent="0.25">
      <c r="A2512" s="6">
        <v>39454</v>
      </c>
      <c r="B2512">
        <v>4.2028999999999998E-4</v>
      </c>
    </row>
    <row r="2513" spans="1:2" x14ac:dyDescent="0.25">
      <c r="A2513" s="6">
        <v>39455</v>
      </c>
      <c r="B2513">
        <v>4.2028999999999998E-4</v>
      </c>
    </row>
    <row r="2514" spans="1:2" x14ac:dyDescent="0.25">
      <c r="A2514" s="6">
        <v>39456</v>
      </c>
      <c r="B2514">
        <v>4.2065000000000001E-4</v>
      </c>
    </row>
    <row r="2515" spans="1:2" x14ac:dyDescent="0.25">
      <c r="A2515" s="6">
        <v>39457</v>
      </c>
      <c r="B2515">
        <v>4.2065000000000001E-4</v>
      </c>
    </row>
    <row r="2516" spans="1:2" x14ac:dyDescent="0.25">
      <c r="A2516" s="6">
        <v>39458</v>
      </c>
      <c r="B2516">
        <v>4.2065000000000001E-4</v>
      </c>
    </row>
    <row r="2517" spans="1:2" x14ac:dyDescent="0.25">
      <c r="A2517" s="6">
        <v>39461</v>
      </c>
      <c r="B2517">
        <v>4.2065000000000001E-4</v>
      </c>
    </row>
    <row r="2518" spans="1:2" x14ac:dyDescent="0.25">
      <c r="A2518" s="6">
        <v>39462</v>
      </c>
      <c r="B2518">
        <v>4.2065000000000001E-4</v>
      </c>
    </row>
    <row r="2519" spans="1:2" x14ac:dyDescent="0.25">
      <c r="A2519" s="6">
        <v>39463</v>
      </c>
      <c r="B2519">
        <v>4.2065000000000001E-4</v>
      </c>
    </row>
    <row r="2520" spans="1:2" x14ac:dyDescent="0.25">
      <c r="A2520" s="6">
        <v>39464</v>
      </c>
      <c r="B2520">
        <v>4.2065000000000001E-4</v>
      </c>
    </row>
    <row r="2521" spans="1:2" x14ac:dyDescent="0.25">
      <c r="A2521" s="6">
        <v>39465</v>
      </c>
      <c r="B2521">
        <v>4.2065000000000001E-4</v>
      </c>
    </row>
    <row r="2522" spans="1:2" x14ac:dyDescent="0.25">
      <c r="A2522" s="6">
        <v>39468</v>
      </c>
      <c r="B2522">
        <v>4.2028999999999998E-4</v>
      </c>
    </row>
    <row r="2523" spans="1:2" x14ac:dyDescent="0.25">
      <c r="A2523" s="6">
        <v>39469</v>
      </c>
      <c r="B2523">
        <v>4.2065000000000001E-4</v>
      </c>
    </row>
    <row r="2524" spans="1:2" x14ac:dyDescent="0.25">
      <c r="A2524" s="6">
        <v>39470</v>
      </c>
      <c r="B2524">
        <v>4.2065000000000001E-4</v>
      </c>
    </row>
    <row r="2525" spans="1:2" x14ac:dyDescent="0.25">
      <c r="A2525" s="6">
        <v>39471</v>
      </c>
      <c r="B2525">
        <v>4.2028999999999998E-4</v>
      </c>
    </row>
    <row r="2526" spans="1:2" x14ac:dyDescent="0.25">
      <c r="A2526" s="6">
        <v>39472</v>
      </c>
      <c r="B2526">
        <v>4.2065000000000001E-4</v>
      </c>
    </row>
    <row r="2527" spans="1:2" x14ac:dyDescent="0.25">
      <c r="A2527" s="6">
        <v>39475</v>
      </c>
      <c r="B2527">
        <v>4.2065000000000001E-4</v>
      </c>
    </row>
    <row r="2528" spans="1:2" x14ac:dyDescent="0.25">
      <c r="A2528" s="6">
        <v>39476</v>
      </c>
      <c r="B2528">
        <v>4.2065000000000001E-4</v>
      </c>
    </row>
    <row r="2529" spans="1:2" x14ac:dyDescent="0.25">
      <c r="A2529" s="6">
        <v>39477</v>
      </c>
      <c r="B2529">
        <v>4.2065000000000001E-4</v>
      </c>
    </row>
    <row r="2530" spans="1:2" x14ac:dyDescent="0.25">
      <c r="A2530" s="6">
        <v>39478</v>
      </c>
      <c r="B2530">
        <v>4.2065000000000001E-4</v>
      </c>
    </row>
    <row r="2531" spans="1:2" x14ac:dyDescent="0.25">
      <c r="A2531" s="6">
        <v>39479</v>
      </c>
      <c r="B2531">
        <v>4.2065000000000001E-4</v>
      </c>
    </row>
    <row r="2532" spans="1:2" x14ac:dyDescent="0.25">
      <c r="A2532" s="6">
        <v>39484</v>
      </c>
      <c r="B2532">
        <v>4.2065000000000001E-4</v>
      </c>
    </row>
    <row r="2533" spans="1:2" x14ac:dyDescent="0.25">
      <c r="A2533" s="6">
        <v>39485</v>
      </c>
      <c r="B2533">
        <v>4.2065000000000001E-4</v>
      </c>
    </row>
    <row r="2534" spans="1:2" x14ac:dyDescent="0.25">
      <c r="A2534" s="6">
        <v>39486</v>
      </c>
      <c r="B2534">
        <v>4.2065000000000001E-4</v>
      </c>
    </row>
    <row r="2535" spans="1:2" x14ac:dyDescent="0.25">
      <c r="A2535" s="6">
        <v>39489</v>
      </c>
      <c r="B2535">
        <v>4.2065000000000001E-4</v>
      </c>
    </row>
    <row r="2536" spans="1:2" x14ac:dyDescent="0.25">
      <c r="A2536" s="6">
        <v>39490</v>
      </c>
      <c r="B2536">
        <v>4.2065000000000001E-4</v>
      </c>
    </row>
    <row r="2537" spans="1:2" x14ac:dyDescent="0.25">
      <c r="A2537" s="6">
        <v>39491</v>
      </c>
      <c r="B2537">
        <v>4.2065000000000001E-4</v>
      </c>
    </row>
    <row r="2538" spans="1:2" x14ac:dyDescent="0.25">
      <c r="A2538" s="6">
        <v>39492</v>
      </c>
      <c r="B2538">
        <v>4.2065000000000001E-4</v>
      </c>
    </row>
    <row r="2539" spans="1:2" x14ac:dyDescent="0.25">
      <c r="A2539" s="6">
        <v>39493</v>
      </c>
      <c r="B2539">
        <v>4.2028999999999998E-4</v>
      </c>
    </row>
    <row r="2540" spans="1:2" x14ac:dyDescent="0.25">
      <c r="A2540" s="6">
        <v>39496</v>
      </c>
      <c r="B2540">
        <v>4.2065000000000001E-4</v>
      </c>
    </row>
    <row r="2541" spans="1:2" x14ac:dyDescent="0.25">
      <c r="A2541" s="6">
        <v>39497</v>
      </c>
      <c r="B2541">
        <v>4.2065000000000001E-4</v>
      </c>
    </row>
    <row r="2542" spans="1:2" x14ac:dyDescent="0.25">
      <c r="A2542" s="6">
        <v>39498</v>
      </c>
      <c r="B2542">
        <v>4.2065000000000001E-4</v>
      </c>
    </row>
    <row r="2543" spans="1:2" x14ac:dyDescent="0.25">
      <c r="A2543" s="6">
        <v>39499</v>
      </c>
      <c r="B2543">
        <v>4.2065000000000001E-4</v>
      </c>
    </row>
    <row r="2544" spans="1:2" x14ac:dyDescent="0.25">
      <c r="A2544" s="6">
        <v>39500</v>
      </c>
      <c r="B2544">
        <v>4.2065000000000001E-4</v>
      </c>
    </row>
    <row r="2545" spans="1:2" x14ac:dyDescent="0.25">
      <c r="A2545" s="6">
        <v>39503</v>
      </c>
      <c r="B2545">
        <v>4.2065000000000001E-4</v>
      </c>
    </row>
    <row r="2546" spans="1:2" x14ac:dyDescent="0.25">
      <c r="A2546" s="6">
        <v>39504</v>
      </c>
      <c r="B2546">
        <v>4.2065000000000001E-4</v>
      </c>
    </row>
    <row r="2547" spans="1:2" x14ac:dyDescent="0.25">
      <c r="A2547" s="6">
        <v>39505</v>
      </c>
      <c r="B2547">
        <v>4.2065000000000001E-4</v>
      </c>
    </row>
    <row r="2548" spans="1:2" x14ac:dyDescent="0.25">
      <c r="A2548" s="6">
        <v>39506</v>
      </c>
      <c r="B2548">
        <v>4.2065000000000001E-4</v>
      </c>
    </row>
    <row r="2549" spans="1:2" x14ac:dyDescent="0.25">
      <c r="A2549" s="6">
        <v>39507</v>
      </c>
      <c r="B2549">
        <v>4.2065000000000001E-4</v>
      </c>
    </row>
    <row r="2550" spans="1:2" x14ac:dyDescent="0.25">
      <c r="A2550" s="6">
        <v>39510</v>
      </c>
      <c r="B2550">
        <v>4.2065000000000001E-4</v>
      </c>
    </row>
    <row r="2551" spans="1:2" x14ac:dyDescent="0.25">
      <c r="A2551" s="6">
        <v>39511</v>
      </c>
      <c r="B2551">
        <v>4.2028999999999998E-4</v>
      </c>
    </row>
    <row r="2552" spans="1:2" x14ac:dyDescent="0.25">
      <c r="A2552" s="6">
        <v>39512</v>
      </c>
      <c r="B2552">
        <v>4.2065000000000001E-4</v>
      </c>
    </row>
    <row r="2553" spans="1:2" x14ac:dyDescent="0.25">
      <c r="A2553" s="6">
        <v>39513</v>
      </c>
      <c r="B2553">
        <v>4.2065000000000001E-4</v>
      </c>
    </row>
    <row r="2554" spans="1:2" x14ac:dyDescent="0.25">
      <c r="A2554" s="6">
        <v>39514</v>
      </c>
      <c r="B2554">
        <v>4.2065000000000001E-4</v>
      </c>
    </row>
    <row r="2555" spans="1:2" x14ac:dyDescent="0.25">
      <c r="A2555" s="6">
        <v>39517</v>
      </c>
      <c r="B2555">
        <v>4.2065000000000001E-4</v>
      </c>
    </row>
    <row r="2556" spans="1:2" x14ac:dyDescent="0.25">
      <c r="A2556" s="6">
        <v>39518</v>
      </c>
      <c r="B2556">
        <v>4.2065000000000001E-4</v>
      </c>
    </row>
    <row r="2557" spans="1:2" x14ac:dyDescent="0.25">
      <c r="A2557" s="6">
        <v>39519</v>
      </c>
      <c r="B2557">
        <v>4.2065000000000001E-4</v>
      </c>
    </row>
    <row r="2558" spans="1:2" x14ac:dyDescent="0.25">
      <c r="A2558" s="6">
        <v>39520</v>
      </c>
      <c r="B2558">
        <v>4.2065000000000001E-4</v>
      </c>
    </row>
    <row r="2559" spans="1:2" x14ac:dyDescent="0.25">
      <c r="A2559" s="6">
        <v>39521</v>
      </c>
      <c r="B2559">
        <v>4.2065000000000001E-4</v>
      </c>
    </row>
    <row r="2560" spans="1:2" x14ac:dyDescent="0.25">
      <c r="A2560" s="6">
        <v>39524</v>
      </c>
      <c r="B2560">
        <v>4.2065000000000001E-4</v>
      </c>
    </row>
    <row r="2561" spans="1:2" x14ac:dyDescent="0.25">
      <c r="A2561" s="6">
        <v>39525</v>
      </c>
      <c r="B2561">
        <v>4.2028999999999998E-4</v>
      </c>
    </row>
    <row r="2562" spans="1:2" x14ac:dyDescent="0.25">
      <c r="A2562" s="6">
        <v>39526</v>
      </c>
      <c r="B2562">
        <v>4.2065000000000001E-4</v>
      </c>
    </row>
    <row r="2563" spans="1:2" x14ac:dyDescent="0.25">
      <c r="A2563" s="6">
        <v>39527</v>
      </c>
      <c r="B2563">
        <v>4.2065000000000001E-4</v>
      </c>
    </row>
    <row r="2564" spans="1:2" x14ac:dyDescent="0.25">
      <c r="A2564" s="6">
        <v>39531</v>
      </c>
      <c r="B2564">
        <v>4.2065000000000001E-4</v>
      </c>
    </row>
    <row r="2565" spans="1:2" x14ac:dyDescent="0.25">
      <c r="A2565" s="6">
        <v>39532</v>
      </c>
      <c r="B2565">
        <v>4.2065000000000001E-4</v>
      </c>
    </row>
    <row r="2566" spans="1:2" x14ac:dyDescent="0.25">
      <c r="A2566" s="6">
        <v>39533</v>
      </c>
      <c r="B2566">
        <v>4.2065000000000001E-4</v>
      </c>
    </row>
    <row r="2567" spans="1:2" x14ac:dyDescent="0.25">
      <c r="A2567" s="6">
        <v>39534</v>
      </c>
      <c r="B2567">
        <v>4.2065000000000001E-4</v>
      </c>
    </row>
    <row r="2568" spans="1:2" x14ac:dyDescent="0.25">
      <c r="A2568" s="6">
        <v>39535</v>
      </c>
      <c r="B2568">
        <v>4.2065000000000001E-4</v>
      </c>
    </row>
    <row r="2569" spans="1:2" x14ac:dyDescent="0.25">
      <c r="A2569" s="6">
        <v>39538</v>
      </c>
      <c r="B2569">
        <v>4.2065000000000001E-4</v>
      </c>
    </row>
    <row r="2570" spans="1:2" x14ac:dyDescent="0.25">
      <c r="A2570" s="6">
        <v>39539</v>
      </c>
      <c r="B2570">
        <v>4.2065000000000001E-4</v>
      </c>
    </row>
    <row r="2571" spans="1:2" x14ac:dyDescent="0.25">
      <c r="A2571" s="6">
        <v>39540</v>
      </c>
      <c r="B2571">
        <v>4.1886000000000001E-4</v>
      </c>
    </row>
    <row r="2572" spans="1:2" x14ac:dyDescent="0.25">
      <c r="A2572" s="6">
        <v>39541</v>
      </c>
      <c r="B2572">
        <v>4.2065000000000001E-4</v>
      </c>
    </row>
    <row r="2573" spans="1:2" x14ac:dyDescent="0.25">
      <c r="A2573" s="6">
        <v>39542</v>
      </c>
      <c r="B2573">
        <v>4.2065000000000001E-4</v>
      </c>
    </row>
    <row r="2574" spans="1:2" x14ac:dyDescent="0.25">
      <c r="A2574" s="6">
        <v>39545</v>
      </c>
      <c r="B2574">
        <v>4.2065000000000001E-4</v>
      </c>
    </row>
    <row r="2575" spans="1:2" x14ac:dyDescent="0.25">
      <c r="A2575" s="6">
        <v>39546</v>
      </c>
      <c r="B2575">
        <v>4.2065000000000001E-4</v>
      </c>
    </row>
    <row r="2576" spans="1:2" x14ac:dyDescent="0.25">
      <c r="A2576" s="6">
        <v>39547</v>
      </c>
      <c r="B2576">
        <v>4.2065000000000001E-4</v>
      </c>
    </row>
    <row r="2577" spans="1:2" x14ac:dyDescent="0.25">
      <c r="A2577" s="6">
        <v>39548</v>
      </c>
      <c r="B2577">
        <v>4.2065000000000001E-4</v>
      </c>
    </row>
    <row r="2578" spans="1:2" x14ac:dyDescent="0.25">
      <c r="A2578" s="6">
        <v>39549</v>
      </c>
      <c r="B2578">
        <v>4.2065000000000001E-4</v>
      </c>
    </row>
    <row r="2579" spans="1:2" x14ac:dyDescent="0.25">
      <c r="A2579" s="6">
        <v>39552</v>
      </c>
      <c r="B2579">
        <v>4.2065000000000001E-4</v>
      </c>
    </row>
    <row r="2580" spans="1:2" x14ac:dyDescent="0.25">
      <c r="A2580" s="6">
        <v>39553</v>
      </c>
      <c r="B2580">
        <v>4.2065000000000001E-4</v>
      </c>
    </row>
    <row r="2581" spans="1:2" x14ac:dyDescent="0.25">
      <c r="A2581" s="6">
        <v>39554</v>
      </c>
      <c r="B2581">
        <v>4.2065000000000001E-4</v>
      </c>
    </row>
    <row r="2582" spans="1:2" x14ac:dyDescent="0.25">
      <c r="A2582" s="6">
        <v>39555</v>
      </c>
      <c r="B2582">
        <v>4.3846000000000005E-4</v>
      </c>
    </row>
    <row r="2583" spans="1:2" x14ac:dyDescent="0.25">
      <c r="A2583" s="6">
        <v>39556</v>
      </c>
      <c r="B2583">
        <v>4.3739000000000001E-4</v>
      </c>
    </row>
    <row r="2584" spans="1:2" x14ac:dyDescent="0.25">
      <c r="A2584" s="6">
        <v>39560</v>
      </c>
      <c r="B2584">
        <v>4.3703999999999998E-4</v>
      </c>
    </row>
    <row r="2585" spans="1:2" x14ac:dyDescent="0.25">
      <c r="A2585" s="6">
        <v>39561</v>
      </c>
      <c r="B2585">
        <v>4.3703999999999998E-4</v>
      </c>
    </row>
    <row r="2586" spans="1:2" x14ac:dyDescent="0.25">
      <c r="A2586" s="6">
        <v>39562</v>
      </c>
      <c r="B2586">
        <v>4.3632999999999996E-4</v>
      </c>
    </row>
    <row r="2587" spans="1:2" x14ac:dyDescent="0.25">
      <c r="A2587" s="6">
        <v>39563</v>
      </c>
      <c r="B2587">
        <v>4.3561000000000001E-4</v>
      </c>
    </row>
    <row r="2588" spans="1:2" x14ac:dyDescent="0.25">
      <c r="A2588" s="6">
        <v>39566</v>
      </c>
      <c r="B2588">
        <v>4.3596999999999999E-4</v>
      </c>
    </row>
    <row r="2589" spans="1:2" x14ac:dyDescent="0.25">
      <c r="A2589" s="6">
        <v>39567</v>
      </c>
      <c r="B2589">
        <v>4.3596999999999999E-4</v>
      </c>
    </row>
    <row r="2590" spans="1:2" x14ac:dyDescent="0.25">
      <c r="A2590" s="6">
        <v>39568</v>
      </c>
      <c r="B2590">
        <v>4.3596999999999999E-4</v>
      </c>
    </row>
    <row r="2591" spans="1:2" x14ac:dyDescent="0.25">
      <c r="A2591" s="6">
        <v>39570</v>
      </c>
      <c r="B2591">
        <v>4.3596999999999999E-4</v>
      </c>
    </row>
    <row r="2592" spans="1:2" x14ac:dyDescent="0.25">
      <c r="A2592" s="6">
        <v>39573</v>
      </c>
      <c r="B2592">
        <v>4.3596999999999999E-4</v>
      </c>
    </row>
    <row r="2593" spans="1:2" x14ac:dyDescent="0.25">
      <c r="A2593" s="6">
        <v>39574</v>
      </c>
      <c r="B2593">
        <v>4.3596999999999999E-4</v>
      </c>
    </row>
    <row r="2594" spans="1:2" x14ac:dyDescent="0.25">
      <c r="A2594" s="6">
        <v>39575</v>
      </c>
      <c r="B2594">
        <v>4.3596999999999999E-4</v>
      </c>
    </row>
    <row r="2595" spans="1:2" x14ac:dyDescent="0.25">
      <c r="A2595" s="6">
        <v>39576</v>
      </c>
      <c r="B2595">
        <v>4.3561000000000001E-4</v>
      </c>
    </row>
    <row r="2596" spans="1:2" x14ac:dyDescent="0.25">
      <c r="A2596" s="6">
        <v>39577</v>
      </c>
      <c r="B2596">
        <v>4.3596999999999999E-4</v>
      </c>
    </row>
    <row r="2597" spans="1:2" x14ac:dyDescent="0.25">
      <c r="A2597" s="6">
        <v>39580</v>
      </c>
      <c r="B2597">
        <v>4.3596999999999999E-4</v>
      </c>
    </row>
    <row r="2598" spans="1:2" x14ac:dyDescent="0.25">
      <c r="A2598" s="6">
        <v>39581</v>
      </c>
      <c r="B2598">
        <v>4.3632999999999996E-4</v>
      </c>
    </row>
    <row r="2599" spans="1:2" x14ac:dyDescent="0.25">
      <c r="A2599" s="6">
        <v>39582</v>
      </c>
      <c r="B2599">
        <v>4.3668E-4</v>
      </c>
    </row>
    <row r="2600" spans="1:2" x14ac:dyDescent="0.25">
      <c r="A2600" s="6">
        <v>39583</v>
      </c>
      <c r="B2600">
        <v>4.3668E-4</v>
      </c>
    </row>
    <row r="2601" spans="1:2" x14ac:dyDescent="0.25">
      <c r="A2601" s="6">
        <v>39584</v>
      </c>
      <c r="B2601">
        <v>4.3703999999999998E-4</v>
      </c>
    </row>
    <row r="2602" spans="1:2" x14ac:dyDescent="0.25">
      <c r="A2602" s="6">
        <v>39587</v>
      </c>
      <c r="B2602">
        <v>4.3703999999999998E-4</v>
      </c>
    </row>
    <row r="2603" spans="1:2" x14ac:dyDescent="0.25">
      <c r="A2603" s="6">
        <v>39588</v>
      </c>
      <c r="B2603">
        <v>4.3703999999999998E-4</v>
      </c>
    </row>
    <row r="2604" spans="1:2" x14ac:dyDescent="0.25">
      <c r="A2604" s="6">
        <v>39589</v>
      </c>
      <c r="B2604">
        <v>4.3703999999999998E-4</v>
      </c>
    </row>
    <row r="2605" spans="1:2" x14ac:dyDescent="0.25">
      <c r="A2605" s="6">
        <v>39591</v>
      </c>
      <c r="B2605">
        <v>4.3703999999999998E-4</v>
      </c>
    </row>
    <row r="2606" spans="1:2" x14ac:dyDescent="0.25">
      <c r="A2606" s="6">
        <v>39594</v>
      </c>
      <c r="B2606">
        <v>4.3703999999999998E-4</v>
      </c>
    </row>
    <row r="2607" spans="1:2" x14ac:dyDescent="0.25">
      <c r="A2607" s="6">
        <v>39595</v>
      </c>
      <c r="B2607">
        <v>4.3703999999999998E-4</v>
      </c>
    </row>
    <row r="2608" spans="1:2" x14ac:dyDescent="0.25">
      <c r="A2608" s="6">
        <v>39596</v>
      </c>
      <c r="B2608">
        <v>4.3703999999999998E-4</v>
      </c>
    </row>
    <row r="2609" spans="1:2" x14ac:dyDescent="0.25">
      <c r="A2609" s="6">
        <v>39597</v>
      </c>
      <c r="B2609">
        <v>4.3703999999999998E-4</v>
      </c>
    </row>
    <row r="2610" spans="1:2" x14ac:dyDescent="0.25">
      <c r="A2610" s="6">
        <v>39598</v>
      </c>
      <c r="B2610">
        <v>4.3703999999999998E-4</v>
      </c>
    </row>
    <row r="2611" spans="1:2" x14ac:dyDescent="0.25">
      <c r="A2611" s="6">
        <v>39601</v>
      </c>
      <c r="B2611">
        <v>4.3703999999999998E-4</v>
      </c>
    </row>
    <row r="2612" spans="1:2" x14ac:dyDescent="0.25">
      <c r="A2612" s="6">
        <v>39602</v>
      </c>
      <c r="B2612">
        <v>4.3703999999999998E-4</v>
      </c>
    </row>
    <row r="2613" spans="1:2" x14ac:dyDescent="0.25">
      <c r="A2613" s="6">
        <v>39603</v>
      </c>
      <c r="B2613">
        <v>4.3703999999999998E-4</v>
      </c>
    </row>
    <row r="2614" spans="1:2" x14ac:dyDescent="0.25">
      <c r="A2614" s="6">
        <v>39604</v>
      </c>
      <c r="B2614">
        <v>4.5477999999999995E-4</v>
      </c>
    </row>
    <row r="2615" spans="1:2" x14ac:dyDescent="0.25">
      <c r="A2615" s="6">
        <v>39605</v>
      </c>
      <c r="B2615">
        <v>4.5477999999999995E-4</v>
      </c>
    </row>
    <row r="2616" spans="1:2" x14ac:dyDescent="0.25">
      <c r="A2616" s="6">
        <v>39608</v>
      </c>
      <c r="B2616">
        <v>4.5477999999999995E-4</v>
      </c>
    </row>
    <row r="2617" spans="1:2" x14ac:dyDescent="0.25">
      <c r="A2617" s="6">
        <v>39609</v>
      </c>
      <c r="B2617">
        <v>4.5549000000000002E-4</v>
      </c>
    </row>
    <row r="2618" spans="1:2" x14ac:dyDescent="0.25">
      <c r="A2618" s="6">
        <v>39610</v>
      </c>
      <c r="B2618">
        <v>4.5584E-4</v>
      </c>
    </row>
    <row r="2619" spans="1:2" x14ac:dyDescent="0.25">
      <c r="A2619" s="6">
        <v>39611</v>
      </c>
      <c r="B2619">
        <v>4.5584E-4</v>
      </c>
    </row>
    <row r="2620" spans="1:2" x14ac:dyDescent="0.25">
      <c r="A2620" s="6">
        <v>39612</v>
      </c>
      <c r="B2620">
        <v>4.5584E-4</v>
      </c>
    </row>
    <row r="2621" spans="1:2" x14ac:dyDescent="0.25">
      <c r="A2621" s="6">
        <v>39615</v>
      </c>
      <c r="B2621">
        <v>4.5584E-4</v>
      </c>
    </row>
    <row r="2622" spans="1:2" x14ac:dyDescent="0.25">
      <c r="A2622" s="6">
        <v>39616</v>
      </c>
      <c r="B2622">
        <v>4.5584E-4</v>
      </c>
    </row>
    <row r="2623" spans="1:2" x14ac:dyDescent="0.25">
      <c r="A2623" s="6">
        <v>39617</v>
      </c>
      <c r="B2623">
        <v>4.5584E-4</v>
      </c>
    </row>
    <row r="2624" spans="1:2" x14ac:dyDescent="0.25">
      <c r="A2624" s="6">
        <v>39618</v>
      </c>
      <c r="B2624">
        <v>4.5584E-4</v>
      </c>
    </row>
    <row r="2625" spans="1:2" x14ac:dyDescent="0.25">
      <c r="A2625" s="6">
        <v>39619</v>
      </c>
      <c r="B2625">
        <v>4.5584E-4</v>
      </c>
    </row>
    <row r="2626" spans="1:2" x14ac:dyDescent="0.25">
      <c r="A2626" s="6">
        <v>39622</v>
      </c>
      <c r="B2626">
        <v>4.5584E-4</v>
      </c>
    </row>
    <row r="2627" spans="1:2" x14ac:dyDescent="0.25">
      <c r="A2627" s="6">
        <v>39623</v>
      </c>
      <c r="B2627">
        <v>4.5584E-4</v>
      </c>
    </row>
    <row r="2628" spans="1:2" x14ac:dyDescent="0.25">
      <c r="A2628" s="6">
        <v>39624</v>
      </c>
      <c r="B2628">
        <v>4.5584E-4</v>
      </c>
    </row>
    <row r="2629" spans="1:2" x14ac:dyDescent="0.25">
      <c r="A2629" s="6">
        <v>39625</v>
      </c>
      <c r="B2629">
        <v>4.5584E-4</v>
      </c>
    </row>
    <row r="2630" spans="1:2" x14ac:dyDescent="0.25">
      <c r="A2630" s="6">
        <v>39626</v>
      </c>
      <c r="B2630">
        <v>4.5584E-4</v>
      </c>
    </row>
    <row r="2631" spans="1:2" x14ac:dyDescent="0.25">
      <c r="A2631" s="6">
        <v>39629</v>
      </c>
      <c r="B2631">
        <v>4.5584E-4</v>
      </c>
    </row>
    <row r="2632" spans="1:2" x14ac:dyDescent="0.25">
      <c r="A2632" s="6">
        <v>39630</v>
      </c>
      <c r="B2632">
        <v>4.5584E-4</v>
      </c>
    </row>
    <row r="2633" spans="1:2" x14ac:dyDescent="0.25">
      <c r="A2633" s="6">
        <v>39631</v>
      </c>
      <c r="B2633">
        <v>4.5584E-4</v>
      </c>
    </row>
    <row r="2634" spans="1:2" x14ac:dyDescent="0.25">
      <c r="A2634" s="6">
        <v>39632</v>
      </c>
      <c r="B2634">
        <v>4.5584E-4</v>
      </c>
    </row>
    <row r="2635" spans="1:2" x14ac:dyDescent="0.25">
      <c r="A2635" s="6">
        <v>39633</v>
      </c>
      <c r="B2635">
        <v>4.5584E-4</v>
      </c>
    </row>
    <row r="2636" spans="1:2" x14ac:dyDescent="0.25">
      <c r="A2636" s="6">
        <v>39636</v>
      </c>
      <c r="B2636">
        <v>4.5584E-4</v>
      </c>
    </row>
    <row r="2637" spans="1:2" x14ac:dyDescent="0.25">
      <c r="A2637" s="6">
        <v>39637</v>
      </c>
      <c r="B2637">
        <v>4.5584E-4</v>
      </c>
    </row>
    <row r="2638" spans="1:2" x14ac:dyDescent="0.25">
      <c r="A2638" s="6">
        <v>39638</v>
      </c>
      <c r="B2638">
        <v>4.5584E-4</v>
      </c>
    </row>
    <row r="2639" spans="1:2" x14ac:dyDescent="0.25">
      <c r="A2639" s="6">
        <v>39639</v>
      </c>
      <c r="B2639">
        <v>4.5584E-4</v>
      </c>
    </row>
    <row r="2640" spans="1:2" x14ac:dyDescent="0.25">
      <c r="A2640" s="6">
        <v>39640</v>
      </c>
      <c r="B2640">
        <v>4.5584E-4</v>
      </c>
    </row>
    <row r="2641" spans="1:2" x14ac:dyDescent="0.25">
      <c r="A2641" s="6">
        <v>39643</v>
      </c>
      <c r="B2641">
        <v>4.5584E-4</v>
      </c>
    </row>
    <row r="2642" spans="1:2" x14ac:dyDescent="0.25">
      <c r="A2642" s="6">
        <v>39644</v>
      </c>
      <c r="B2642">
        <v>4.5584E-4</v>
      </c>
    </row>
    <row r="2643" spans="1:2" x14ac:dyDescent="0.25">
      <c r="A2643" s="6">
        <v>39645</v>
      </c>
      <c r="B2643">
        <v>4.5584E-4</v>
      </c>
    </row>
    <row r="2644" spans="1:2" x14ac:dyDescent="0.25">
      <c r="A2644" s="6">
        <v>39646</v>
      </c>
      <c r="B2644">
        <v>4.5584E-4</v>
      </c>
    </row>
    <row r="2645" spans="1:2" x14ac:dyDescent="0.25">
      <c r="A2645" s="6">
        <v>39647</v>
      </c>
      <c r="B2645">
        <v>4.5584E-4</v>
      </c>
    </row>
    <row r="2646" spans="1:2" x14ac:dyDescent="0.25">
      <c r="A2646" s="6">
        <v>39650</v>
      </c>
      <c r="B2646">
        <v>4.5584E-4</v>
      </c>
    </row>
    <row r="2647" spans="1:2" x14ac:dyDescent="0.25">
      <c r="A2647" s="6">
        <v>39651</v>
      </c>
      <c r="B2647">
        <v>4.5584E-4</v>
      </c>
    </row>
    <row r="2648" spans="1:2" x14ac:dyDescent="0.25">
      <c r="A2648" s="6">
        <v>39652</v>
      </c>
      <c r="B2648">
        <v>4.5549000000000002E-4</v>
      </c>
    </row>
    <row r="2649" spans="1:2" x14ac:dyDescent="0.25">
      <c r="A2649" s="6">
        <v>39653</v>
      </c>
      <c r="B2649">
        <v>4.8193999999999998E-4</v>
      </c>
    </row>
    <row r="2650" spans="1:2" x14ac:dyDescent="0.25">
      <c r="A2650" s="6">
        <v>39654</v>
      </c>
      <c r="B2650">
        <v>4.8230000000000001E-4</v>
      </c>
    </row>
    <row r="2651" spans="1:2" x14ac:dyDescent="0.25">
      <c r="A2651" s="6">
        <v>39657</v>
      </c>
      <c r="B2651">
        <v>4.8230000000000001E-4</v>
      </c>
    </row>
    <row r="2652" spans="1:2" x14ac:dyDescent="0.25">
      <c r="A2652" s="6">
        <v>39658</v>
      </c>
      <c r="B2652">
        <v>4.8230000000000001E-4</v>
      </c>
    </row>
    <row r="2653" spans="1:2" x14ac:dyDescent="0.25">
      <c r="A2653" s="6">
        <v>39659</v>
      </c>
      <c r="B2653">
        <v>4.8230000000000001E-4</v>
      </c>
    </row>
    <row r="2654" spans="1:2" x14ac:dyDescent="0.25">
      <c r="A2654" s="6">
        <v>39660</v>
      </c>
      <c r="B2654">
        <v>4.8230000000000001E-4</v>
      </c>
    </row>
    <row r="2655" spans="1:2" x14ac:dyDescent="0.25">
      <c r="A2655" s="6">
        <v>39661</v>
      </c>
      <c r="B2655">
        <v>4.8230000000000001E-4</v>
      </c>
    </row>
    <row r="2656" spans="1:2" x14ac:dyDescent="0.25">
      <c r="A2656" s="6">
        <v>39664</v>
      </c>
      <c r="B2656">
        <v>4.8230000000000001E-4</v>
      </c>
    </row>
    <row r="2657" spans="1:2" x14ac:dyDescent="0.25">
      <c r="A2657" s="6">
        <v>39665</v>
      </c>
      <c r="B2657">
        <v>4.8230000000000001E-4</v>
      </c>
    </row>
    <row r="2658" spans="1:2" x14ac:dyDescent="0.25">
      <c r="A2658" s="6">
        <v>39666</v>
      </c>
      <c r="B2658">
        <v>4.8230000000000001E-4</v>
      </c>
    </row>
    <row r="2659" spans="1:2" x14ac:dyDescent="0.25">
      <c r="A2659" s="6">
        <v>39667</v>
      </c>
      <c r="B2659">
        <v>4.8230000000000001E-4</v>
      </c>
    </row>
    <row r="2660" spans="1:2" x14ac:dyDescent="0.25">
      <c r="A2660" s="6">
        <v>39668</v>
      </c>
      <c r="B2660">
        <v>4.8230000000000001E-4</v>
      </c>
    </row>
    <row r="2661" spans="1:2" x14ac:dyDescent="0.25">
      <c r="A2661" s="6">
        <v>39671</v>
      </c>
      <c r="B2661">
        <v>4.8230000000000001E-4</v>
      </c>
    </row>
    <row r="2662" spans="1:2" x14ac:dyDescent="0.25">
      <c r="A2662" s="6">
        <v>39672</v>
      </c>
      <c r="B2662">
        <v>4.8193999999999998E-4</v>
      </c>
    </row>
    <row r="2663" spans="1:2" x14ac:dyDescent="0.25">
      <c r="A2663" s="6">
        <v>39673</v>
      </c>
      <c r="B2663">
        <v>4.8193999999999998E-4</v>
      </c>
    </row>
    <row r="2664" spans="1:2" x14ac:dyDescent="0.25">
      <c r="A2664" s="6">
        <v>39674</v>
      </c>
      <c r="B2664">
        <v>4.8230000000000001E-4</v>
      </c>
    </row>
    <row r="2665" spans="1:2" x14ac:dyDescent="0.25">
      <c r="A2665" s="6">
        <v>39675</v>
      </c>
      <c r="B2665">
        <v>4.8230000000000001E-4</v>
      </c>
    </row>
    <row r="2666" spans="1:2" x14ac:dyDescent="0.25">
      <c r="A2666" s="6">
        <v>39678</v>
      </c>
      <c r="B2666">
        <v>4.8230000000000001E-4</v>
      </c>
    </row>
    <row r="2667" spans="1:2" x14ac:dyDescent="0.25">
      <c r="A2667" s="6">
        <v>39679</v>
      </c>
      <c r="B2667">
        <v>4.8230000000000001E-4</v>
      </c>
    </row>
    <row r="2668" spans="1:2" x14ac:dyDescent="0.25">
      <c r="A2668" s="6">
        <v>39680</v>
      </c>
      <c r="B2668">
        <v>4.8230000000000001E-4</v>
      </c>
    </row>
    <row r="2669" spans="1:2" x14ac:dyDescent="0.25">
      <c r="A2669" s="6">
        <v>39681</v>
      </c>
      <c r="B2669">
        <v>4.8230000000000001E-4</v>
      </c>
    </row>
    <row r="2670" spans="1:2" x14ac:dyDescent="0.25">
      <c r="A2670" s="6">
        <v>39682</v>
      </c>
      <c r="B2670">
        <v>4.8230000000000001E-4</v>
      </c>
    </row>
    <row r="2671" spans="1:2" x14ac:dyDescent="0.25">
      <c r="A2671" s="6">
        <v>39685</v>
      </c>
      <c r="B2671">
        <v>4.8230000000000001E-4</v>
      </c>
    </row>
    <row r="2672" spans="1:2" x14ac:dyDescent="0.25">
      <c r="A2672" s="6">
        <v>39686</v>
      </c>
      <c r="B2672">
        <v>4.8230000000000001E-4</v>
      </c>
    </row>
    <row r="2673" spans="1:2" x14ac:dyDescent="0.25">
      <c r="A2673" s="6">
        <v>39687</v>
      </c>
      <c r="B2673">
        <v>4.8230000000000001E-4</v>
      </c>
    </row>
    <row r="2674" spans="1:2" x14ac:dyDescent="0.25">
      <c r="A2674" s="6">
        <v>39688</v>
      </c>
      <c r="B2674">
        <v>4.8230000000000001E-4</v>
      </c>
    </row>
    <row r="2675" spans="1:2" x14ac:dyDescent="0.25">
      <c r="A2675" s="6">
        <v>39689</v>
      </c>
      <c r="B2675">
        <v>4.8230000000000001E-4</v>
      </c>
    </row>
    <row r="2676" spans="1:2" x14ac:dyDescent="0.25">
      <c r="A2676" s="6">
        <v>39692</v>
      </c>
      <c r="B2676">
        <v>4.8193999999999998E-4</v>
      </c>
    </row>
    <row r="2677" spans="1:2" x14ac:dyDescent="0.25">
      <c r="A2677" s="6">
        <v>39693</v>
      </c>
      <c r="B2677">
        <v>4.8230000000000001E-4</v>
      </c>
    </row>
    <row r="2678" spans="1:2" x14ac:dyDescent="0.25">
      <c r="A2678" s="6">
        <v>39694</v>
      </c>
      <c r="B2678">
        <v>4.8230000000000001E-4</v>
      </c>
    </row>
    <row r="2679" spans="1:2" x14ac:dyDescent="0.25">
      <c r="A2679" s="6">
        <v>39695</v>
      </c>
      <c r="B2679">
        <v>4.8230000000000001E-4</v>
      </c>
    </row>
    <row r="2680" spans="1:2" x14ac:dyDescent="0.25">
      <c r="A2680" s="6">
        <v>39696</v>
      </c>
      <c r="B2680">
        <v>4.8230000000000001E-4</v>
      </c>
    </row>
    <row r="2681" spans="1:2" x14ac:dyDescent="0.25">
      <c r="A2681" s="6">
        <v>39699</v>
      </c>
      <c r="B2681">
        <v>4.8193999999999998E-4</v>
      </c>
    </row>
    <row r="2682" spans="1:2" x14ac:dyDescent="0.25">
      <c r="A2682" s="6">
        <v>39700</v>
      </c>
      <c r="B2682">
        <v>4.8230000000000001E-4</v>
      </c>
    </row>
    <row r="2683" spans="1:2" x14ac:dyDescent="0.25">
      <c r="A2683" s="6">
        <v>39701</v>
      </c>
      <c r="B2683">
        <v>4.8230000000000001E-4</v>
      </c>
    </row>
    <row r="2684" spans="1:2" x14ac:dyDescent="0.25">
      <c r="A2684" s="6">
        <v>39702</v>
      </c>
      <c r="B2684">
        <v>5.0823000000000003E-4</v>
      </c>
    </row>
    <row r="2685" spans="1:2" x14ac:dyDescent="0.25">
      <c r="A2685" s="6">
        <v>39703</v>
      </c>
      <c r="B2685">
        <v>5.0823000000000003E-4</v>
      </c>
    </row>
    <row r="2686" spans="1:2" x14ac:dyDescent="0.25">
      <c r="A2686" s="6">
        <v>39706</v>
      </c>
      <c r="B2686">
        <v>5.0823000000000003E-4</v>
      </c>
    </row>
    <row r="2687" spans="1:2" x14ac:dyDescent="0.25">
      <c r="A2687" s="6">
        <v>39707</v>
      </c>
      <c r="B2687">
        <v>5.0823000000000003E-4</v>
      </c>
    </row>
    <row r="2688" spans="1:2" x14ac:dyDescent="0.25">
      <c r="A2688" s="6">
        <v>39708</v>
      </c>
      <c r="B2688">
        <v>5.0823000000000003E-4</v>
      </c>
    </row>
    <row r="2689" spans="1:2" x14ac:dyDescent="0.25">
      <c r="A2689" s="6">
        <v>39709</v>
      </c>
      <c r="B2689">
        <v>5.0823000000000003E-4</v>
      </c>
    </row>
    <row r="2690" spans="1:2" x14ac:dyDescent="0.25">
      <c r="A2690" s="6">
        <v>39710</v>
      </c>
      <c r="B2690">
        <v>5.0823000000000003E-4</v>
      </c>
    </row>
    <row r="2691" spans="1:2" x14ac:dyDescent="0.25">
      <c r="A2691" s="6">
        <v>39713</v>
      </c>
      <c r="B2691">
        <v>5.0823000000000003E-4</v>
      </c>
    </row>
    <row r="2692" spans="1:2" x14ac:dyDescent="0.25">
      <c r="A2692" s="6">
        <v>39714</v>
      </c>
      <c r="B2692">
        <v>5.0823000000000003E-4</v>
      </c>
    </row>
    <row r="2693" spans="1:2" x14ac:dyDescent="0.25">
      <c r="A2693" s="6">
        <v>39715</v>
      </c>
      <c r="B2693">
        <v>5.0823000000000003E-4</v>
      </c>
    </row>
    <row r="2694" spans="1:2" x14ac:dyDescent="0.25">
      <c r="A2694" s="6">
        <v>39716</v>
      </c>
      <c r="B2694">
        <v>5.0823000000000003E-4</v>
      </c>
    </row>
    <row r="2695" spans="1:2" x14ac:dyDescent="0.25">
      <c r="A2695" s="6">
        <v>39717</v>
      </c>
      <c r="B2695">
        <v>5.0823000000000003E-4</v>
      </c>
    </row>
    <row r="2696" spans="1:2" x14ac:dyDescent="0.25">
      <c r="A2696" s="6">
        <v>39720</v>
      </c>
      <c r="B2696">
        <v>5.0858000000000001E-4</v>
      </c>
    </row>
    <row r="2697" spans="1:2" x14ac:dyDescent="0.25">
      <c r="A2697" s="6">
        <v>39721</v>
      </c>
      <c r="B2697">
        <v>5.0823000000000003E-4</v>
      </c>
    </row>
    <row r="2698" spans="1:2" x14ac:dyDescent="0.25">
      <c r="A2698" s="6">
        <v>39722</v>
      </c>
      <c r="B2698">
        <v>5.0823000000000003E-4</v>
      </c>
    </row>
    <row r="2699" spans="1:2" x14ac:dyDescent="0.25">
      <c r="A2699" s="6">
        <v>39723</v>
      </c>
      <c r="B2699">
        <v>5.0858000000000001E-4</v>
      </c>
    </row>
    <row r="2700" spans="1:2" x14ac:dyDescent="0.25">
      <c r="A2700" s="6">
        <v>39724</v>
      </c>
      <c r="B2700">
        <v>5.0858000000000001E-4</v>
      </c>
    </row>
    <row r="2701" spans="1:2" x14ac:dyDescent="0.25">
      <c r="A2701" s="6">
        <v>39727</v>
      </c>
      <c r="B2701">
        <v>5.0858000000000001E-4</v>
      </c>
    </row>
    <row r="2702" spans="1:2" x14ac:dyDescent="0.25">
      <c r="A2702" s="6">
        <v>39728</v>
      </c>
      <c r="B2702">
        <v>5.0858000000000001E-4</v>
      </c>
    </row>
    <row r="2703" spans="1:2" x14ac:dyDescent="0.25">
      <c r="A2703" s="6">
        <v>39729</v>
      </c>
      <c r="B2703">
        <v>5.0858000000000001E-4</v>
      </c>
    </row>
    <row r="2704" spans="1:2" x14ac:dyDescent="0.25">
      <c r="A2704" s="6">
        <v>39730</v>
      </c>
      <c r="B2704">
        <v>5.0858000000000001E-4</v>
      </c>
    </row>
    <row r="2705" spans="1:2" x14ac:dyDescent="0.25">
      <c r="A2705" s="6">
        <v>39731</v>
      </c>
      <c r="B2705">
        <v>5.0858000000000001E-4</v>
      </c>
    </row>
    <row r="2706" spans="1:2" x14ac:dyDescent="0.25">
      <c r="A2706" s="6">
        <v>39734</v>
      </c>
      <c r="B2706">
        <v>5.0858000000000001E-4</v>
      </c>
    </row>
    <row r="2707" spans="1:2" x14ac:dyDescent="0.25">
      <c r="A2707" s="6">
        <v>39735</v>
      </c>
      <c r="B2707">
        <v>5.0858000000000001E-4</v>
      </c>
    </row>
    <row r="2708" spans="1:2" x14ac:dyDescent="0.25">
      <c r="A2708" s="6">
        <v>39736</v>
      </c>
      <c r="B2708">
        <v>5.0858000000000001E-4</v>
      </c>
    </row>
    <row r="2709" spans="1:2" x14ac:dyDescent="0.25">
      <c r="A2709" s="6">
        <v>39737</v>
      </c>
      <c r="B2709">
        <v>5.0823000000000003E-4</v>
      </c>
    </row>
    <row r="2710" spans="1:2" x14ac:dyDescent="0.25">
      <c r="A2710" s="6">
        <v>39738</v>
      </c>
      <c r="B2710">
        <v>5.0823000000000003E-4</v>
      </c>
    </row>
    <row r="2711" spans="1:2" x14ac:dyDescent="0.25">
      <c r="A2711" s="6">
        <v>39741</v>
      </c>
      <c r="B2711">
        <v>5.0823000000000003E-4</v>
      </c>
    </row>
    <row r="2712" spans="1:2" x14ac:dyDescent="0.25">
      <c r="A2712" s="6">
        <v>39742</v>
      </c>
      <c r="B2712">
        <v>5.0823000000000003E-4</v>
      </c>
    </row>
    <row r="2713" spans="1:2" x14ac:dyDescent="0.25">
      <c r="A2713" s="6">
        <v>39743</v>
      </c>
      <c r="B2713">
        <v>5.0823000000000003E-4</v>
      </c>
    </row>
    <row r="2714" spans="1:2" x14ac:dyDescent="0.25">
      <c r="A2714" s="6">
        <v>39744</v>
      </c>
      <c r="B2714">
        <v>5.0823000000000003E-4</v>
      </c>
    </row>
    <row r="2715" spans="1:2" x14ac:dyDescent="0.25">
      <c r="A2715" s="6">
        <v>39745</v>
      </c>
      <c r="B2715">
        <v>5.0823000000000003E-4</v>
      </c>
    </row>
    <row r="2716" spans="1:2" x14ac:dyDescent="0.25">
      <c r="A2716" s="6">
        <v>39748</v>
      </c>
      <c r="B2716">
        <v>5.0823000000000003E-4</v>
      </c>
    </row>
    <row r="2717" spans="1:2" x14ac:dyDescent="0.25">
      <c r="A2717" s="6">
        <v>39749</v>
      </c>
      <c r="B2717">
        <v>5.0823000000000003E-4</v>
      </c>
    </row>
    <row r="2718" spans="1:2" x14ac:dyDescent="0.25">
      <c r="A2718" s="6">
        <v>39750</v>
      </c>
      <c r="B2718">
        <v>5.0858000000000001E-4</v>
      </c>
    </row>
    <row r="2719" spans="1:2" x14ac:dyDescent="0.25">
      <c r="A2719" s="6">
        <v>39751</v>
      </c>
      <c r="B2719">
        <v>5.0858000000000001E-4</v>
      </c>
    </row>
    <row r="2720" spans="1:2" x14ac:dyDescent="0.25">
      <c r="A2720" s="6">
        <v>39752</v>
      </c>
      <c r="B2720">
        <v>5.0788000000000005E-4</v>
      </c>
    </row>
    <row r="2721" spans="1:2" x14ac:dyDescent="0.25">
      <c r="A2721" s="6">
        <v>39755</v>
      </c>
      <c r="B2721">
        <v>5.0788000000000005E-4</v>
      </c>
    </row>
    <row r="2722" spans="1:2" x14ac:dyDescent="0.25">
      <c r="A2722" s="6">
        <v>39756</v>
      </c>
      <c r="B2722">
        <v>5.0788000000000005E-4</v>
      </c>
    </row>
    <row r="2723" spans="1:2" x14ac:dyDescent="0.25">
      <c r="A2723" s="6">
        <v>39757</v>
      </c>
      <c r="B2723">
        <v>5.0788000000000005E-4</v>
      </c>
    </row>
    <row r="2724" spans="1:2" x14ac:dyDescent="0.25">
      <c r="A2724" s="6">
        <v>39758</v>
      </c>
      <c r="B2724">
        <v>5.0788000000000005E-4</v>
      </c>
    </row>
    <row r="2725" spans="1:2" x14ac:dyDescent="0.25">
      <c r="A2725" s="6">
        <v>39759</v>
      </c>
      <c r="B2725">
        <v>5.0752999999999996E-4</v>
      </c>
    </row>
    <row r="2726" spans="1:2" x14ac:dyDescent="0.25">
      <c r="A2726" s="6">
        <v>39762</v>
      </c>
      <c r="B2726">
        <v>5.0752999999999996E-4</v>
      </c>
    </row>
    <row r="2727" spans="1:2" x14ac:dyDescent="0.25">
      <c r="A2727" s="6">
        <v>39763</v>
      </c>
      <c r="B2727">
        <v>5.0752999999999996E-4</v>
      </c>
    </row>
    <row r="2728" spans="1:2" x14ac:dyDescent="0.25">
      <c r="A2728" s="6">
        <v>39764</v>
      </c>
      <c r="B2728">
        <v>5.0752999999999996E-4</v>
      </c>
    </row>
    <row r="2729" spans="1:2" x14ac:dyDescent="0.25">
      <c r="A2729" s="6">
        <v>39765</v>
      </c>
      <c r="B2729">
        <v>5.0752999999999996E-4</v>
      </c>
    </row>
    <row r="2730" spans="1:2" x14ac:dyDescent="0.25">
      <c r="A2730" s="6">
        <v>39766</v>
      </c>
      <c r="B2730">
        <v>5.0717999999999998E-4</v>
      </c>
    </row>
    <row r="2731" spans="1:2" x14ac:dyDescent="0.25">
      <c r="A2731" s="6">
        <v>39769</v>
      </c>
      <c r="B2731">
        <v>5.0717999999999998E-4</v>
      </c>
    </row>
    <row r="2732" spans="1:2" x14ac:dyDescent="0.25">
      <c r="A2732" s="6">
        <v>39770</v>
      </c>
      <c r="B2732">
        <v>5.0717999999999998E-4</v>
      </c>
    </row>
    <row r="2733" spans="1:2" x14ac:dyDescent="0.25">
      <c r="A2733" s="6">
        <v>39771</v>
      </c>
      <c r="B2733">
        <v>5.0752999999999996E-4</v>
      </c>
    </row>
    <row r="2734" spans="1:2" x14ac:dyDescent="0.25">
      <c r="A2734" s="6">
        <v>39772</v>
      </c>
      <c r="B2734">
        <v>5.0717999999999998E-4</v>
      </c>
    </row>
    <row r="2735" spans="1:2" x14ac:dyDescent="0.25">
      <c r="A2735" s="6">
        <v>39773</v>
      </c>
      <c r="B2735">
        <v>5.0717999999999998E-4</v>
      </c>
    </row>
    <row r="2736" spans="1:2" x14ac:dyDescent="0.25">
      <c r="A2736" s="6">
        <v>39776</v>
      </c>
      <c r="B2736">
        <v>5.0752999999999996E-4</v>
      </c>
    </row>
    <row r="2737" spans="1:2" x14ac:dyDescent="0.25">
      <c r="A2737" s="6">
        <v>39777</v>
      </c>
      <c r="B2737">
        <v>5.0752999999999996E-4</v>
      </c>
    </row>
    <row r="2738" spans="1:2" x14ac:dyDescent="0.25">
      <c r="A2738" s="6">
        <v>39778</v>
      </c>
      <c r="B2738">
        <v>5.0752999999999996E-4</v>
      </c>
    </row>
    <row r="2739" spans="1:2" x14ac:dyDescent="0.25">
      <c r="A2739" s="6">
        <v>39779</v>
      </c>
      <c r="B2739">
        <v>5.0752999999999996E-4</v>
      </c>
    </row>
    <row r="2740" spans="1:2" x14ac:dyDescent="0.25">
      <c r="A2740" s="6">
        <v>39780</v>
      </c>
      <c r="B2740">
        <v>5.0788000000000005E-4</v>
      </c>
    </row>
    <row r="2741" spans="1:2" x14ac:dyDescent="0.25">
      <c r="A2741" s="6">
        <v>39783</v>
      </c>
      <c r="B2741">
        <v>5.0788000000000005E-4</v>
      </c>
    </row>
    <row r="2742" spans="1:2" x14ac:dyDescent="0.25">
      <c r="A2742" s="6">
        <v>39784</v>
      </c>
      <c r="B2742">
        <v>5.0823000000000003E-4</v>
      </c>
    </row>
    <row r="2743" spans="1:2" x14ac:dyDescent="0.25">
      <c r="A2743" s="6">
        <v>39785</v>
      </c>
      <c r="B2743">
        <v>5.0823000000000003E-4</v>
      </c>
    </row>
    <row r="2744" spans="1:2" x14ac:dyDescent="0.25">
      <c r="A2744" s="6">
        <v>39786</v>
      </c>
      <c r="B2744">
        <v>5.0823000000000003E-4</v>
      </c>
    </row>
    <row r="2745" spans="1:2" x14ac:dyDescent="0.25">
      <c r="A2745" s="6">
        <v>39787</v>
      </c>
      <c r="B2745">
        <v>5.0823000000000003E-4</v>
      </c>
    </row>
    <row r="2746" spans="1:2" x14ac:dyDescent="0.25">
      <c r="A2746" s="6">
        <v>39790</v>
      </c>
      <c r="B2746">
        <v>5.0823000000000003E-4</v>
      </c>
    </row>
    <row r="2747" spans="1:2" x14ac:dyDescent="0.25">
      <c r="A2747" s="6">
        <v>39791</v>
      </c>
      <c r="B2747">
        <v>5.0823000000000003E-4</v>
      </c>
    </row>
    <row r="2748" spans="1:2" x14ac:dyDescent="0.25">
      <c r="A2748" s="6">
        <v>39792</v>
      </c>
      <c r="B2748">
        <v>5.0823000000000003E-4</v>
      </c>
    </row>
    <row r="2749" spans="1:2" x14ac:dyDescent="0.25">
      <c r="A2749" s="6">
        <v>39793</v>
      </c>
      <c r="B2749">
        <v>5.0823000000000003E-4</v>
      </c>
    </row>
    <row r="2750" spans="1:2" x14ac:dyDescent="0.25">
      <c r="A2750" s="6">
        <v>39794</v>
      </c>
      <c r="B2750">
        <v>5.0823000000000003E-4</v>
      </c>
    </row>
    <row r="2751" spans="1:2" x14ac:dyDescent="0.25">
      <c r="A2751" s="6">
        <v>39797</v>
      </c>
      <c r="B2751">
        <v>5.0823000000000003E-4</v>
      </c>
    </row>
    <row r="2752" spans="1:2" x14ac:dyDescent="0.25">
      <c r="A2752" s="6">
        <v>39798</v>
      </c>
      <c r="B2752">
        <v>5.0823000000000003E-4</v>
      </c>
    </row>
    <row r="2753" spans="1:2" x14ac:dyDescent="0.25">
      <c r="A2753" s="6">
        <v>39799</v>
      </c>
      <c r="B2753">
        <v>5.0823000000000003E-4</v>
      </c>
    </row>
    <row r="2754" spans="1:2" x14ac:dyDescent="0.25">
      <c r="A2754" s="6">
        <v>39800</v>
      </c>
      <c r="B2754">
        <v>5.0823000000000003E-4</v>
      </c>
    </row>
    <row r="2755" spans="1:2" x14ac:dyDescent="0.25">
      <c r="A2755" s="6">
        <v>39801</v>
      </c>
      <c r="B2755">
        <v>5.0823000000000003E-4</v>
      </c>
    </row>
    <row r="2756" spans="1:2" x14ac:dyDescent="0.25">
      <c r="A2756" s="6">
        <v>39804</v>
      </c>
      <c r="B2756">
        <v>5.0823000000000003E-4</v>
      </c>
    </row>
    <row r="2757" spans="1:2" x14ac:dyDescent="0.25">
      <c r="A2757" s="6">
        <v>39805</v>
      </c>
      <c r="B2757">
        <v>5.0823000000000003E-4</v>
      </c>
    </row>
    <row r="2758" spans="1:2" x14ac:dyDescent="0.25">
      <c r="A2758" s="6">
        <v>39806</v>
      </c>
      <c r="B2758">
        <v>5.0823000000000003E-4</v>
      </c>
    </row>
    <row r="2759" spans="1:2" x14ac:dyDescent="0.25">
      <c r="A2759" s="6">
        <v>39808</v>
      </c>
      <c r="B2759">
        <v>5.0823000000000003E-4</v>
      </c>
    </row>
    <row r="2760" spans="1:2" x14ac:dyDescent="0.25">
      <c r="A2760" s="6">
        <v>39811</v>
      </c>
      <c r="B2760">
        <v>5.0823000000000003E-4</v>
      </c>
    </row>
    <row r="2761" spans="1:2" x14ac:dyDescent="0.25">
      <c r="A2761" s="6">
        <v>39812</v>
      </c>
      <c r="B2761">
        <v>5.0823000000000003E-4</v>
      </c>
    </row>
    <row r="2762" spans="1:2" x14ac:dyDescent="0.25">
      <c r="A2762" s="6">
        <v>39813</v>
      </c>
      <c r="B2762">
        <v>5.0858000000000001E-4</v>
      </c>
    </row>
    <row r="2763" spans="1:2" x14ac:dyDescent="0.25">
      <c r="A2763" s="6">
        <v>39815</v>
      </c>
      <c r="B2763">
        <v>5.0858000000000001E-4</v>
      </c>
    </row>
    <row r="2764" spans="1:2" x14ac:dyDescent="0.25">
      <c r="A2764" s="6">
        <v>39818</v>
      </c>
      <c r="B2764">
        <v>5.0823000000000003E-4</v>
      </c>
    </row>
    <row r="2765" spans="1:2" x14ac:dyDescent="0.25">
      <c r="A2765" s="6">
        <v>39819</v>
      </c>
      <c r="B2765">
        <v>5.0823000000000003E-4</v>
      </c>
    </row>
    <row r="2766" spans="1:2" x14ac:dyDescent="0.25">
      <c r="A2766" s="6">
        <v>39820</v>
      </c>
      <c r="B2766">
        <v>5.0823000000000003E-4</v>
      </c>
    </row>
    <row r="2767" spans="1:2" x14ac:dyDescent="0.25">
      <c r="A2767" s="6">
        <v>39821</v>
      </c>
      <c r="B2767">
        <v>5.0823000000000003E-4</v>
      </c>
    </row>
    <row r="2768" spans="1:2" x14ac:dyDescent="0.25">
      <c r="A2768" s="6">
        <v>39822</v>
      </c>
      <c r="B2768">
        <v>5.0823000000000003E-4</v>
      </c>
    </row>
    <row r="2769" spans="1:2" x14ac:dyDescent="0.25">
      <c r="A2769" s="6">
        <v>39825</v>
      </c>
      <c r="B2769">
        <v>5.0823000000000003E-4</v>
      </c>
    </row>
    <row r="2770" spans="1:2" x14ac:dyDescent="0.25">
      <c r="A2770" s="6">
        <v>39826</v>
      </c>
      <c r="B2770">
        <v>5.0823000000000003E-4</v>
      </c>
    </row>
    <row r="2771" spans="1:2" x14ac:dyDescent="0.25">
      <c r="A2771" s="6">
        <v>39827</v>
      </c>
      <c r="B2771">
        <v>5.0823000000000003E-4</v>
      </c>
    </row>
    <row r="2772" spans="1:2" x14ac:dyDescent="0.25">
      <c r="A2772" s="6">
        <v>39828</v>
      </c>
      <c r="B2772">
        <v>5.0823000000000003E-4</v>
      </c>
    </row>
    <row r="2773" spans="1:2" x14ac:dyDescent="0.25">
      <c r="A2773" s="6">
        <v>39829</v>
      </c>
      <c r="B2773">
        <v>5.0823000000000003E-4</v>
      </c>
    </row>
    <row r="2774" spans="1:2" x14ac:dyDescent="0.25">
      <c r="A2774" s="6">
        <v>39832</v>
      </c>
      <c r="B2774">
        <v>5.0823000000000003E-4</v>
      </c>
    </row>
    <row r="2775" spans="1:2" x14ac:dyDescent="0.25">
      <c r="A2775" s="6">
        <v>39833</v>
      </c>
      <c r="B2775">
        <v>5.0788000000000005E-4</v>
      </c>
    </row>
    <row r="2776" spans="1:2" x14ac:dyDescent="0.25">
      <c r="A2776" s="6">
        <v>39834</v>
      </c>
      <c r="B2776">
        <v>5.0788000000000005E-4</v>
      </c>
    </row>
    <row r="2777" spans="1:2" x14ac:dyDescent="0.25">
      <c r="A2777" s="6">
        <v>39835</v>
      </c>
      <c r="B2777">
        <v>4.7279E-4</v>
      </c>
    </row>
    <row r="2778" spans="1:2" x14ac:dyDescent="0.25">
      <c r="A2778" s="6">
        <v>39836</v>
      </c>
      <c r="B2778">
        <v>4.7314000000000004E-4</v>
      </c>
    </row>
    <row r="2779" spans="1:2" x14ac:dyDescent="0.25">
      <c r="A2779" s="6">
        <v>39839</v>
      </c>
      <c r="B2779">
        <v>4.7279E-4</v>
      </c>
    </row>
    <row r="2780" spans="1:2" x14ac:dyDescent="0.25">
      <c r="A2780" s="6">
        <v>39840</v>
      </c>
      <c r="B2780">
        <v>4.7314000000000004E-4</v>
      </c>
    </row>
    <row r="2781" spans="1:2" x14ac:dyDescent="0.25">
      <c r="A2781" s="6">
        <v>39841</v>
      </c>
      <c r="B2781">
        <v>4.7314000000000004E-4</v>
      </c>
    </row>
    <row r="2782" spans="1:2" x14ac:dyDescent="0.25">
      <c r="A2782" s="6">
        <v>39842</v>
      </c>
      <c r="B2782">
        <v>4.7314000000000004E-4</v>
      </c>
    </row>
    <row r="2783" spans="1:2" x14ac:dyDescent="0.25">
      <c r="A2783" s="6">
        <v>39843</v>
      </c>
      <c r="B2783">
        <v>4.7314000000000004E-4</v>
      </c>
    </row>
    <row r="2784" spans="1:2" x14ac:dyDescent="0.25">
      <c r="A2784" s="6">
        <v>39846</v>
      </c>
      <c r="B2784">
        <v>4.7314000000000004E-4</v>
      </c>
    </row>
    <row r="2785" spans="1:2" x14ac:dyDescent="0.25">
      <c r="A2785" s="6">
        <v>39847</v>
      </c>
      <c r="B2785">
        <v>4.7314000000000004E-4</v>
      </c>
    </row>
    <row r="2786" spans="1:2" x14ac:dyDescent="0.25">
      <c r="A2786" s="6">
        <v>39848</v>
      </c>
      <c r="B2786">
        <v>4.7314000000000004E-4</v>
      </c>
    </row>
    <row r="2787" spans="1:2" x14ac:dyDescent="0.25">
      <c r="A2787" s="6">
        <v>39849</v>
      </c>
      <c r="B2787">
        <v>4.7314000000000004E-4</v>
      </c>
    </row>
    <row r="2788" spans="1:2" x14ac:dyDescent="0.25">
      <c r="A2788" s="6">
        <v>39850</v>
      </c>
      <c r="B2788">
        <v>4.7314000000000004E-4</v>
      </c>
    </row>
    <row r="2789" spans="1:2" x14ac:dyDescent="0.25">
      <c r="A2789" s="6">
        <v>39853</v>
      </c>
      <c r="B2789">
        <v>4.7314000000000004E-4</v>
      </c>
    </row>
    <row r="2790" spans="1:2" x14ac:dyDescent="0.25">
      <c r="A2790" s="6">
        <v>39854</v>
      </c>
      <c r="B2790">
        <v>4.7314000000000004E-4</v>
      </c>
    </row>
    <row r="2791" spans="1:2" x14ac:dyDescent="0.25">
      <c r="A2791" s="6">
        <v>39855</v>
      </c>
      <c r="B2791">
        <v>4.7314000000000004E-4</v>
      </c>
    </row>
    <row r="2792" spans="1:2" x14ac:dyDescent="0.25">
      <c r="A2792" s="6">
        <v>39856</v>
      </c>
      <c r="B2792">
        <v>4.7314000000000004E-4</v>
      </c>
    </row>
    <row r="2793" spans="1:2" x14ac:dyDescent="0.25">
      <c r="A2793" s="6">
        <v>39857</v>
      </c>
      <c r="B2793">
        <v>4.7314000000000004E-4</v>
      </c>
    </row>
    <row r="2794" spans="1:2" x14ac:dyDescent="0.25">
      <c r="A2794" s="6">
        <v>39860</v>
      </c>
      <c r="B2794">
        <v>4.7314000000000004E-4</v>
      </c>
    </row>
    <row r="2795" spans="1:2" x14ac:dyDescent="0.25">
      <c r="A2795" s="6">
        <v>39861</v>
      </c>
      <c r="B2795">
        <v>4.7314000000000004E-4</v>
      </c>
    </row>
    <row r="2796" spans="1:2" x14ac:dyDescent="0.25">
      <c r="A2796" s="6">
        <v>39862</v>
      </c>
      <c r="B2796">
        <v>4.7314000000000004E-4</v>
      </c>
    </row>
    <row r="2797" spans="1:2" x14ac:dyDescent="0.25">
      <c r="A2797" s="6">
        <v>39863</v>
      </c>
      <c r="B2797">
        <v>4.7314000000000004E-4</v>
      </c>
    </row>
    <row r="2798" spans="1:2" x14ac:dyDescent="0.25">
      <c r="A2798" s="6">
        <v>39864</v>
      </c>
      <c r="B2798">
        <v>4.7314000000000004E-4</v>
      </c>
    </row>
    <row r="2799" spans="1:2" x14ac:dyDescent="0.25">
      <c r="A2799" s="6">
        <v>39869</v>
      </c>
      <c r="B2799">
        <v>4.7314000000000004E-4</v>
      </c>
    </row>
    <row r="2800" spans="1:2" x14ac:dyDescent="0.25">
      <c r="A2800" s="6">
        <v>39870</v>
      </c>
      <c r="B2800">
        <v>4.7314000000000004E-4</v>
      </c>
    </row>
    <row r="2801" spans="1:2" x14ac:dyDescent="0.25">
      <c r="A2801" s="6">
        <v>39871</v>
      </c>
      <c r="B2801">
        <v>4.7314000000000004E-4</v>
      </c>
    </row>
    <row r="2802" spans="1:2" x14ac:dyDescent="0.25">
      <c r="A2802" s="6">
        <v>39874</v>
      </c>
      <c r="B2802">
        <v>4.7314000000000004E-4</v>
      </c>
    </row>
    <row r="2803" spans="1:2" x14ac:dyDescent="0.25">
      <c r="A2803" s="6">
        <v>39875</v>
      </c>
      <c r="B2803">
        <v>4.7314000000000004E-4</v>
      </c>
    </row>
    <row r="2804" spans="1:2" x14ac:dyDescent="0.25">
      <c r="A2804" s="6">
        <v>39876</v>
      </c>
      <c r="B2804">
        <v>4.7314000000000004E-4</v>
      </c>
    </row>
    <row r="2805" spans="1:2" x14ac:dyDescent="0.25">
      <c r="A2805" s="6">
        <v>39877</v>
      </c>
      <c r="B2805">
        <v>4.7314000000000004E-4</v>
      </c>
    </row>
    <row r="2806" spans="1:2" x14ac:dyDescent="0.25">
      <c r="A2806" s="6">
        <v>39878</v>
      </c>
      <c r="B2806">
        <v>4.7314000000000004E-4</v>
      </c>
    </row>
    <row r="2807" spans="1:2" x14ac:dyDescent="0.25">
      <c r="A2807" s="6">
        <v>39881</v>
      </c>
      <c r="B2807">
        <v>4.7314000000000004E-4</v>
      </c>
    </row>
    <row r="2808" spans="1:2" x14ac:dyDescent="0.25">
      <c r="A2808" s="6">
        <v>39882</v>
      </c>
      <c r="B2808">
        <v>4.7314000000000004E-4</v>
      </c>
    </row>
    <row r="2809" spans="1:2" x14ac:dyDescent="0.25">
      <c r="A2809" s="6">
        <v>39883</v>
      </c>
      <c r="B2809">
        <v>4.7314000000000004E-4</v>
      </c>
    </row>
    <row r="2810" spans="1:2" x14ac:dyDescent="0.25">
      <c r="A2810" s="6">
        <v>39884</v>
      </c>
      <c r="B2810">
        <v>4.1993E-4</v>
      </c>
    </row>
    <row r="2811" spans="1:2" x14ac:dyDescent="0.25">
      <c r="A2811" s="6">
        <v>39885</v>
      </c>
      <c r="B2811">
        <v>4.1993E-4</v>
      </c>
    </row>
    <row r="2812" spans="1:2" x14ac:dyDescent="0.25">
      <c r="A2812" s="6">
        <v>39888</v>
      </c>
      <c r="B2812">
        <v>4.1993E-4</v>
      </c>
    </row>
    <row r="2813" spans="1:2" x14ac:dyDescent="0.25">
      <c r="A2813" s="6">
        <v>39889</v>
      </c>
      <c r="B2813">
        <v>4.1993E-4</v>
      </c>
    </row>
    <row r="2814" spans="1:2" x14ac:dyDescent="0.25">
      <c r="A2814" s="6">
        <v>39890</v>
      </c>
      <c r="B2814">
        <v>4.1993E-4</v>
      </c>
    </row>
    <row r="2815" spans="1:2" x14ac:dyDescent="0.25">
      <c r="A2815" s="6">
        <v>39891</v>
      </c>
      <c r="B2815">
        <v>4.1993E-4</v>
      </c>
    </row>
    <row r="2816" spans="1:2" x14ac:dyDescent="0.25">
      <c r="A2816" s="6">
        <v>39892</v>
      </c>
      <c r="B2816">
        <v>4.1993E-4</v>
      </c>
    </row>
    <row r="2817" spans="1:2" x14ac:dyDescent="0.25">
      <c r="A2817" s="6">
        <v>39895</v>
      </c>
      <c r="B2817">
        <v>4.1993E-4</v>
      </c>
    </row>
    <row r="2818" spans="1:2" x14ac:dyDescent="0.25">
      <c r="A2818" s="6">
        <v>39896</v>
      </c>
      <c r="B2818">
        <v>4.1993E-4</v>
      </c>
    </row>
    <row r="2819" spans="1:2" x14ac:dyDescent="0.25">
      <c r="A2819" s="6">
        <v>39897</v>
      </c>
      <c r="B2819">
        <v>4.1993E-4</v>
      </c>
    </row>
    <row r="2820" spans="1:2" x14ac:dyDescent="0.25">
      <c r="A2820" s="6">
        <v>39898</v>
      </c>
      <c r="B2820">
        <v>4.1993E-4</v>
      </c>
    </row>
    <row r="2821" spans="1:2" x14ac:dyDescent="0.25">
      <c r="A2821" s="6">
        <v>39899</v>
      </c>
      <c r="B2821">
        <v>4.1993E-4</v>
      </c>
    </row>
    <row r="2822" spans="1:2" x14ac:dyDescent="0.25">
      <c r="A2822" s="6">
        <v>39902</v>
      </c>
      <c r="B2822">
        <v>4.1993E-4</v>
      </c>
    </row>
    <row r="2823" spans="1:2" x14ac:dyDescent="0.25">
      <c r="A2823" s="6">
        <v>39903</v>
      </c>
      <c r="B2823">
        <v>4.1993E-4</v>
      </c>
    </row>
    <row r="2824" spans="1:2" x14ac:dyDescent="0.25">
      <c r="A2824" s="6">
        <v>39904</v>
      </c>
      <c r="B2824">
        <v>4.1993E-4</v>
      </c>
    </row>
    <row r="2825" spans="1:2" x14ac:dyDescent="0.25">
      <c r="A2825" s="6">
        <v>39905</v>
      </c>
      <c r="B2825">
        <v>4.1993E-4</v>
      </c>
    </row>
    <row r="2826" spans="1:2" x14ac:dyDescent="0.25">
      <c r="A2826" s="6">
        <v>39906</v>
      </c>
      <c r="B2826">
        <v>4.1993E-4</v>
      </c>
    </row>
    <row r="2827" spans="1:2" x14ac:dyDescent="0.25">
      <c r="A2827" s="6">
        <v>39909</v>
      </c>
      <c r="B2827">
        <v>4.1993E-4</v>
      </c>
    </row>
    <row r="2828" spans="1:2" x14ac:dyDescent="0.25">
      <c r="A2828" s="6">
        <v>39910</v>
      </c>
      <c r="B2828">
        <v>4.1993E-4</v>
      </c>
    </row>
    <row r="2829" spans="1:2" x14ac:dyDescent="0.25">
      <c r="A2829" s="6">
        <v>39911</v>
      </c>
      <c r="B2829">
        <v>4.1993E-4</v>
      </c>
    </row>
    <row r="2830" spans="1:2" x14ac:dyDescent="0.25">
      <c r="A2830" s="6">
        <v>39912</v>
      </c>
      <c r="B2830">
        <v>4.1993E-4</v>
      </c>
    </row>
    <row r="2831" spans="1:2" x14ac:dyDescent="0.25">
      <c r="A2831" s="6">
        <v>39916</v>
      </c>
      <c r="B2831">
        <v>4.1993E-4</v>
      </c>
    </row>
    <row r="2832" spans="1:2" x14ac:dyDescent="0.25">
      <c r="A2832" s="6">
        <v>39917</v>
      </c>
      <c r="B2832">
        <v>4.1993E-4</v>
      </c>
    </row>
    <row r="2833" spans="1:2" x14ac:dyDescent="0.25">
      <c r="A2833" s="6">
        <v>39918</v>
      </c>
      <c r="B2833">
        <v>4.1993E-4</v>
      </c>
    </row>
    <row r="2834" spans="1:2" x14ac:dyDescent="0.25">
      <c r="A2834" s="6">
        <v>39919</v>
      </c>
      <c r="B2834">
        <v>4.1993E-4</v>
      </c>
    </row>
    <row r="2835" spans="1:2" x14ac:dyDescent="0.25">
      <c r="A2835" s="6">
        <v>39920</v>
      </c>
      <c r="B2835">
        <v>4.1993E-4</v>
      </c>
    </row>
    <row r="2836" spans="1:2" x14ac:dyDescent="0.25">
      <c r="A2836" s="6">
        <v>39923</v>
      </c>
      <c r="B2836">
        <v>4.1993E-4</v>
      </c>
    </row>
    <row r="2837" spans="1:2" x14ac:dyDescent="0.25">
      <c r="A2837" s="6">
        <v>39925</v>
      </c>
      <c r="B2837">
        <v>4.1993E-4</v>
      </c>
    </row>
    <row r="2838" spans="1:2" x14ac:dyDescent="0.25">
      <c r="A2838" s="6">
        <v>39926</v>
      </c>
      <c r="B2838">
        <v>4.1993E-4</v>
      </c>
    </row>
    <row r="2839" spans="1:2" x14ac:dyDescent="0.25">
      <c r="A2839" s="6">
        <v>39927</v>
      </c>
      <c r="B2839">
        <v>4.1993E-4</v>
      </c>
    </row>
    <row r="2840" spans="1:2" x14ac:dyDescent="0.25">
      <c r="A2840" s="6">
        <v>39930</v>
      </c>
      <c r="B2840">
        <v>4.1993E-4</v>
      </c>
    </row>
    <row r="2841" spans="1:2" x14ac:dyDescent="0.25">
      <c r="A2841" s="6">
        <v>39931</v>
      </c>
      <c r="B2841">
        <v>4.1993E-4</v>
      </c>
    </row>
    <row r="2842" spans="1:2" x14ac:dyDescent="0.25">
      <c r="A2842" s="6">
        <v>39932</v>
      </c>
      <c r="B2842">
        <v>4.1957000000000002E-4</v>
      </c>
    </row>
    <row r="2843" spans="1:2" x14ac:dyDescent="0.25">
      <c r="A2843" s="6">
        <v>39933</v>
      </c>
      <c r="B2843">
        <v>3.8406000000000003E-4</v>
      </c>
    </row>
    <row r="2844" spans="1:2" x14ac:dyDescent="0.25">
      <c r="A2844" s="6">
        <v>39937</v>
      </c>
      <c r="B2844">
        <v>3.8406000000000003E-4</v>
      </c>
    </row>
    <row r="2845" spans="1:2" x14ac:dyDescent="0.25">
      <c r="A2845" s="6">
        <v>39938</v>
      </c>
      <c r="B2845">
        <v>3.8406000000000003E-4</v>
      </c>
    </row>
    <row r="2846" spans="1:2" x14ac:dyDescent="0.25">
      <c r="A2846" s="6">
        <v>39939</v>
      </c>
      <c r="B2846">
        <v>3.8406000000000003E-4</v>
      </c>
    </row>
    <row r="2847" spans="1:2" x14ac:dyDescent="0.25">
      <c r="A2847" s="6">
        <v>39940</v>
      </c>
      <c r="B2847">
        <v>3.8406000000000003E-4</v>
      </c>
    </row>
    <row r="2848" spans="1:2" x14ac:dyDescent="0.25">
      <c r="A2848" s="6">
        <v>39941</v>
      </c>
      <c r="B2848">
        <v>3.8406000000000003E-4</v>
      </c>
    </row>
    <row r="2849" spans="1:2" x14ac:dyDescent="0.25">
      <c r="A2849" s="6">
        <v>39944</v>
      </c>
      <c r="B2849">
        <v>3.8406000000000003E-4</v>
      </c>
    </row>
    <row r="2850" spans="1:2" x14ac:dyDescent="0.25">
      <c r="A2850" s="6">
        <v>39945</v>
      </c>
      <c r="B2850">
        <v>3.837E-4</v>
      </c>
    </row>
    <row r="2851" spans="1:2" x14ac:dyDescent="0.25">
      <c r="A2851" s="6">
        <v>39946</v>
      </c>
      <c r="B2851">
        <v>3.8406000000000003E-4</v>
      </c>
    </row>
    <row r="2852" spans="1:2" x14ac:dyDescent="0.25">
      <c r="A2852" s="6">
        <v>39947</v>
      </c>
      <c r="B2852">
        <v>3.8406000000000003E-4</v>
      </c>
    </row>
    <row r="2853" spans="1:2" x14ac:dyDescent="0.25">
      <c r="A2853" s="6">
        <v>39948</v>
      </c>
      <c r="B2853">
        <v>3.8406000000000003E-4</v>
      </c>
    </row>
    <row r="2854" spans="1:2" x14ac:dyDescent="0.25">
      <c r="A2854" s="6">
        <v>39951</v>
      </c>
      <c r="B2854">
        <v>3.8406000000000003E-4</v>
      </c>
    </row>
    <row r="2855" spans="1:2" x14ac:dyDescent="0.25">
      <c r="A2855" s="6">
        <v>39952</v>
      </c>
      <c r="B2855">
        <v>3.8406000000000003E-4</v>
      </c>
    </row>
    <row r="2856" spans="1:2" x14ac:dyDescent="0.25">
      <c r="A2856" s="6">
        <v>39953</v>
      </c>
      <c r="B2856">
        <v>3.8406000000000003E-4</v>
      </c>
    </row>
    <row r="2857" spans="1:2" x14ac:dyDescent="0.25">
      <c r="A2857" s="6">
        <v>39954</v>
      </c>
      <c r="B2857">
        <v>3.8406000000000003E-4</v>
      </c>
    </row>
    <row r="2858" spans="1:2" x14ac:dyDescent="0.25">
      <c r="A2858" s="6">
        <v>39955</v>
      </c>
      <c r="B2858">
        <v>3.8406000000000003E-4</v>
      </c>
    </row>
    <row r="2859" spans="1:2" x14ac:dyDescent="0.25">
      <c r="A2859" s="6">
        <v>39958</v>
      </c>
      <c r="B2859">
        <v>3.8406000000000003E-4</v>
      </c>
    </row>
    <row r="2860" spans="1:2" x14ac:dyDescent="0.25">
      <c r="A2860" s="6">
        <v>39959</v>
      </c>
      <c r="B2860">
        <v>3.8406000000000003E-4</v>
      </c>
    </row>
    <row r="2861" spans="1:2" x14ac:dyDescent="0.25">
      <c r="A2861" s="6">
        <v>39960</v>
      </c>
      <c r="B2861">
        <v>3.8406000000000003E-4</v>
      </c>
    </row>
    <row r="2862" spans="1:2" x14ac:dyDescent="0.25">
      <c r="A2862" s="6">
        <v>39961</v>
      </c>
      <c r="B2862">
        <v>3.8406000000000003E-4</v>
      </c>
    </row>
    <row r="2863" spans="1:2" x14ac:dyDescent="0.25">
      <c r="A2863" s="6">
        <v>39962</v>
      </c>
      <c r="B2863">
        <v>3.8406000000000003E-4</v>
      </c>
    </row>
    <row r="2864" spans="1:2" x14ac:dyDescent="0.25">
      <c r="A2864" s="6">
        <v>39965</v>
      </c>
      <c r="B2864">
        <v>3.8406000000000003E-4</v>
      </c>
    </row>
    <row r="2865" spans="1:2" x14ac:dyDescent="0.25">
      <c r="A2865" s="6">
        <v>39966</v>
      </c>
      <c r="B2865">
        <v>3.8406000000000003E-4</v>
      </c>
    </row>
    <row r="2866" spans="1:2" x14ac:dyDescent="0.25">
      <c r="A2866" s="6">
        <v>39967</v>
      </c>
      <c r="B2866">
        <v>3.8406000000000003E-4</v>
      </c>
    </row>
    <row r="2867" spans="1:2" x14ac:dyDescent="0.25">
      <c r="A2867" s="6">
        <v>39968</v>
      </c>
      <c r="B2867">
        <v>3.8406000000000003E-4</v>
      </c>
    </row>
    <row r="2868" spans="1:2" x14ac:dyDescent="0.25">
      <c r="A2868" s="6">
        <v>39969</v>
      </c>
      <c r="B2868">
        <v>3.8406000000000003E-4</v>
      </c>
    </row>
    <row r="2869" spans="1:2" x14ac:dyDescent="0.25">
      <c r="A2869" s="6">
        <v>39972</v>
      </c>
      <c r="B2869">
        <v>3.8406000000000003E-4</v>
      </c>
    </row>
    <row r="2870" spans="1:2" x14ac:dyDescent="0.25">
      <c r="A2870" s="6">
        <v>39973</v>
      </c>
      <c r="B2870">
        <v>3.8406000000000003E-4</v>
      </c>
    </row>
    <row r="2871" spans="1:2" x14ac:dyDescent="0.25">
      <c r="A2871" s="6">
        <v>39974</v>
      </c>
      <c r="B2871">
        <v>3.837E-4</v>
      </c>
    </row>
    <row r="2872" spans="1:2" x14ac:dyDescent="0.25">
      <c r="A2872" s="6">
        <v>39976</v>
      </c>
      <c r="B2872">
        <v>3.4785999999999997E-4</v>
      </c>
    </row>
    <row r="2873" spans="1:2" x14ac:dyDescent="0.25">
      <c r="A2873" s="6">
        <v>39979</v>
      </c>
      <c r="B2873">
        <v>3.4785999999999997E-4</v>
      </c>
    </row>
    <row r="2874" spans="1:2" x14ac:dyDescent="0.25">
      <c r="A2874" s="6">
        <v>39980</v>
      </c>
      <c r="B2874">
        <v>3.4785999999999997E-4</v>
      </c>
    </row>
    <row r="2875" spans="1:2" x14ac:dyDescent="0.25">
      <c r="A2875" s="6">
        <v>39981</v>
      </c>
      <c r="B2875">
        <v>3.4785999999999997E-4</v>
      </c>
    </row>
    <row r="2876" spans="1:2" x14ac:dyDescent="0.25">
      <c r="A2876" s="6">
        <v>39982</v>
      </c>
      <c r="B2876">
        <v>3.4785999999999997E-4</v>
      </c>
    </row>
    <row r="2877" spans="1:2" x14ac:dyDescent="0.25">
      <c r="A2877" s="6">
        <v>39983</v>
      </c>
      <c r="B2877">
        <v>3.4785999999999997E-4</v>
      </c>
    </row>
    <row r="2878" spans="1:2" x14ac:dyDescent="0.25">
      <c r="A2878" s="6">
        <v>39986</v>
      </c>
      <c r="B2878">
        <v>3.4785999999999997E-4</v>
      </c>
    </row>
    <row r="2879" spans="1:2" x14ac:dyDescent="0.25">
      <c r="A2879" s="6">
        <v>39987</v>
      </c>
      <c r="B2879">
        <v>3.4785999999999997E-4</v>
      </c>
    </row>
    <row r="2880" spans="1:2" x14ac:dyDescent="0.25">
      <c r="A2880" s="6">
        <v>39988</v>
      </c>
      <c r="B2880">
        <v>3.4785999999999997E-4</v>
      </c>
    </row>
    <row r="2881" spans="1:2" x14ac:dyDescent="0.25">
      <c r="A2881" s="6">
        <v>39989</v>
      </c>
      <c r="B2881">
        <v>3.4785999999999997E-4</v>
      </c>
    </row>
    <row r="2882" spans="1:2" x14ac:dyDescent="0.25">
      <c r="A2882" s="6">
        <v>39990</v>
      </c>
      <c r="B2882">
        <v>3.4785999999999997E-4</v>
      </c>
    </row>
    <row r="2883" spans="1:2" x14ac:dyDescent="0.25">
      <c r="A2883" s="6">
        <v>39993</v>
      </c>
      <c r="B2883">
        <v>3.4785999999999997E-4</v>
      </c>
    </row>
    <row r="2884" spans="1:2" x14ac:dyDescent="0.25">
      <c r="A2884" s="6">
        <v>39994</v>
      </c>
      <c r="B2884">
        <v>3.4785999999999997E-4</v>
      </c>
    </row>
    <row r="2885" spans="1:2" x14ac:dyDescent="0.25">
      <c r="A2885" s="6">
        <v>39995</v>
      </c>
      <c r="B2885">
        <v>3.4785999999999997E-4</v>
      </c>
    </row>
    <row r="2886" spans="1:2" x14ac:dyDescent="0.25">
      <c r="A2886" s="6">
        <v>39996</v>
      </c>
      <c r="B2886">
        <v>3.4785999999999997E-4</v>
      </c>
    </row>
    <row r="2887" spans="1:2" x14ac:dyDescent="0.25">
      <c r="A2887" s="6">
        <v>39997</v>
      </c>
      <c r="B2887">
        <v>3.4785999999999997E-4</v>
      </c>
    </row>
    <row r="2888" spans="1:2" x14ac:dyDescent="0.25">
      <c r="A2888" s="6">
        <v>40000</v>
      </c>
      <c r="B2888">
        <v>3.4785999999999997E-4</v>
      </c>
    </row>
    <row r="2889" spans="1:2" x14ac:dyDescent="0.25">
      <c r="A2889" s="6">
        <v>40001</v>
      </c>
      <c r="B2889">
        <v>3.4785999999999997E-4</v>
      </c>
    </row>
    <row r="2890" spans="1:2" x14ac:dyDescent="0.25">
      <c r="A2890" s="6">
        <v>40002</v>
      </c>
      <c r="B2890">
        <v>3.4785999999999997E-4</v>
      </c>
    </row>
    <row r="2891" spans="1:2" x14ac:dyDescent="0.25">
      <c r="A2891" s="6">
        <v>40003</v>
      </c>
      <c r="B2891">
        <v>3.4785999999999997E-4</v>
      </c>
    </row>
    <row r="2892" spans="1:2" x14ac:dyDescent="0.25">
      <c r="A2892" s="6">
        <v>40004</v>
      </c>
      <c r="B2892">
        <v>3.4785999999999997E-4</v>
      </c>
    </row>
    <row r="2893" spans="1:2" x14ac:dyDescent="0.25">
      <c r="A2893" s="6">
        <v>40007</v>
      </c>
      <c r="B2893">
        <v>3.4785999999999997E-4</v>
      </c>
    </row>
    <row r="2894" spans="1:2" x14ac:dyDescent="0.25">
      <c r="A2894" s="6">
        <v>40008</v>
      </c>
      <c r="B2894">
        <v>3.4785999999999997E-4</v>
      </c>
    </row>
    <row r="2895" spans="1:2" x14ac:dyDescent="0.25">
      <c r="A2895" s="6">
        <v>40009</v>
      </c>
      <c r="B2895">
        <v>3.4785999999999997E-4</v>
      </c>
    </row>
    <row r="2896" spans="1:2" x14ac:dyDescent="0.25">
      <c r="A2896" s="6">
        <v>40010</v>
      </c>
      <c r="B2896">
        <v>3.4785999999999997E-4</v>
      </c>
    </row>
    <row r="2897" spans="1:2" x14ac:dyDescent="0.25">
      <c r="A2897" s="6">
        <v>40011</v>
      </c>
      <c r="B2897">
        <v>3.4785999999999997E-4</v>
      </c>
    </row>
    <row r="2898" spans="1:2" x14ac:dyDescent="0.25">
      <c r="A2898" s="6">
        <v>40014</v>
      </c>
      <c r="B2898">
        <v>3.4785999999999997E-4</v>
      </c>
    </row>
    <row r="2899" spans="1:2" x14ac:dyDescent="0.25">
      <c r="A2899" s="6">
        <v>40015</v>
      </c>
      <c r="B2899">
        <v>3.4785999999999997E-4</v>
      </c>
    </row>
    <row r="2900" spans="1:2" x14ac:dyDescent="0.25">
      <c r="A2900" s="6">
        <v>40016</v>
      </c>
      <c r="B2900">
        <v>3.4749E-4</v>
      </c>
    </row>
    <row r="2901" spans="1:2" x14ac:dyDescent="0.25">
      <c r="A2901" s="6">
        <v>40017</v>
      </c>
      <c r="B2901">
        <v>3.2962999999999997E-4</v>
      </c>
    </row>
    <row r="2902" spans="1:2" x14ac:dyDescent="0.25">
      <c r="A2902" s="6">
        <v>40018</v>
      </c>
      <c r="B2902">
        <v>3.2962999999999997E-4</v>
      </c>
    </row>
    <row r="2903" spans="1:2" x14ac:dyDescent="0.25">
      <c r="A2903" s="6">
        <v>40021</v>
      </c>
      <c r="B2903">
        <v>3.2962999999999997E-4</v>
      </c>
    </row>
    <row r="2904" spans="1:2" x14ac:dyDescent="0.25">
      <c r="A2904" s="6">
        <v>40022</v>
      </c>
      <c r="B2904">
        <v>3.2927E-4</v>
      </c>
    </row>
    <row r="2905" spans="1:2" x14ac:dyDescent="0.25">
      <c r="A2905" s="6">
        <v>40023</v>
      </c>
      <c r="B2905">
        <v>3.2962999999999997E-4</v>
      </c>
    </row>
    <row r="2906" spans="1:2" x14ac:dyDescent="0.25">
      <c r="A2906" s="6">
        <v>40024</v>
      </c>
      <c r="B2906">
        <v>3.2927E-4</v>
      </c>
    </row>
    <row r="2907" spans="1:2" x14ac:dyDescent="0.25">
      <c r="A2907" s="6">
        <v>40025</v>
      </c>
      <c r="B2907">
        <v>3.2927E-4</v>
      </c>
    </row>
    <row r="2908" spans="1:2" x14ac:dyDescent="0.25">
      <c r="A2908" s="6">
        <v>40028</v>
      </c>
      <c r="B2908">
        <v>3.2927E-4</v>
      </c>
    </row>
    <row r="2909" spans="1:2" x14ac:dyDescent="0.25">
      <c r="A2909" s="6">
        <v>40029</v>
      </c>
      <c r="B2909">
        <v>3.2927E-4</v>
      </c>
    </row>
    <row r="2910" spans="1:2" x14ac:dyDescent="0.25">
      <c r="A2910" s="6">
        <v>40030</v>
      </c>
      <c r="B2910">
        <v>3.2927E-4</v>
      </c>
    </row>
    <row r="2911" spans="1:2" x14ac:dyDescent="0.25">
      <c r="A2911" s="6">
        <v>40031</v>
      </c>
      <c r="B2911">
        <v>3.2927E-4</v>
      </c>
    </row>
    <row r="2912" spans="1:2" x14ac:dyDescent="0.25">
      <c r="A2912" s="6">
        <v>40032</v>
      </c>
      <c r="B2912">
        <v>3.2927E-4</v>
      </c>
    </row>
    <row r="2913" spans="1:2" x14ac:dyDescent="0.25">
      <c r="A2913" s="6">
        <v>40035</v>
      </c>
      <c r="B2913">
        <v>3.2927E-4</v>
      </c>
    </row>
    <row r="2914" spans="1:2" x14ac:dyDescent="0.25">
      <c r="A2914" s="6">
        <v>40036</v>
      </c>
      <c r="B2914">
        <v>3.2927E-4</v>
      </c>
    </row>
    <row r="2915" spans="1:2" x14ac:dyDescent="0.25">
      <c r="A2915" s="6">
        <v>40037</v>
      </c>
      <c r="B2915">
        <v>3.2927E-4</v>
      </c>
    </row>
    <row r="2916" spans="1:2" x14ac:dyDescent="0.25">
      <c r="A2916" s="6">
        <v>40038</v>
      </c>
      <c r="B2916">
        <v>3.2927E-4</v>
      </c>
    </row>
    <row r="2917" spans="1:2" x14ac:dyDescent="0.25">
      <c r="A2917" s="6">
        <v>40039</v>
      </c>
      <c r="B2917">
        <v>3.2927E-4</v>
      </c>
    </row>
    <row r="2918" spans="1:2" x14ac:dyDescent="0.25">
      <c r="A2918" s="6">
        <v>40042</v>
      </c>
      <c r="B2918">
        <v>3.2927E-4</v>
      </c>
    </row>
    <row r="2919" spans="1:2" x14ac:dyDescent="0.25">
      <c r="A2919" s="6">
        <v>40043</v>
      </c>
      <c r="B2919">
        <v>3.2927E-4</v>
      </c>
    </row>
    <row r="2920" spans="1:2" x14ac:dyDescent="0.25">
      <c r="A2920" s="6">
        <v>40044</v>
      </c>
      <c r="B2920">
        <v>3.2927E-4</v>
      </c>
    </row>
    <row r="2921" spans="1:2" x14ac:dyDescent="0.25">
      <c r="A2921" s="6">
        <v>40045</v>
      </c>
      <c r="B2921">
        <v>3.2927E-4</v>
      </c>
    </row>
    <row r="2922" spans="1:2" x14ac:dyDescent="0.25">
      <c r="A2922" s="6">
        <v>40046</v>
      </c>
      <c r="B2922">
        <v>3.2927E-4</v>
      </c>
    </row>
    <row r="2923" spans="1:2" x14ac:dyDescent="0.25">
      <c r="A2923" s="6">
        <v>40049</v>
      </c>
      <c r="B2923">
        <v>3.2927E-4</v>
      </c>
    </row>
    <row r="2924" spans="1:2" x14ac:dyDescent="0.25">
      <c r="A2924" s="6">
        <v>40050</v>
      </c>
      <c r="B2924">
        <v>3.2927E-4</v>
      </c>
    </row>
    <row r="2925" spans="1:2" x14ac:dyDescent="0.25">
      <c r="A2925" s="6">
        <v>40051</v>
      </c>
      <c r="B2925">
        <v>3.2927E-4</v>
      </c>
    </row>
    <row r="2926" spans="1:2" x14ac:dyDescent="0.25">
      <c r="A2926" s="6">
        <v>40052</v>
      </c>
      <c r="B2926">
        <v>3.2927E-4</v>
      </c>
    </row>
    <row r="2927" spans="1:2" x14ac:dyDescent="0.25">
      <c r="A2927" s="6">
        <v>40053</v>
      </c>
      <c r="B2927">
        <v>3.2927E-4</v>
      </c>
    </row>
    <row r="2928" spans="1:2" x14ac:dyDescent="0.25">
      <c r="A2928" s="6">
        <v>40056</v>
      </c>
      <c r="B2928">
        <v>3.2927E-4</v>
      </c>
    </row>
    <row r="2929" spans="1:2" x14ac:dyDescent="0.25">
      <c r="A2929" s="6">
        <v>40057</v>
      </c>
      <c r="B2929">
        <v>3.2927E-4</v>
      </c>
    </row>
    <row r="2930" spans="1:2" x14ac:dyDescent="0.25">
      <c r="A2930" s="6">
        <v>40058</v>
      </c>
      <c r="B2930">
        <v>3.2927E-4</v>
      </c>
    </row>
    <row r="2931" spans="1:2" x14ac:dyDescent="0.25">
      <c r="A2931" s="6">
        <v>40059</v>
      </c>
      <c r="B2931">
        <v>3.2927E-4</v>
      </c>
    </row>
    <row r="2932" spans="1:2" x14ac:dyDescent="0.25">
      <c r="A2932" s="6">
        <v>40060</v>
      </c>
      <c r="B2932">
        <v>3.2927E-4</v>
      </c>
    </row>
    <row r="2933" spans="1:2" x14ac:dyDescent="0.25">
      <c r="A2933" s="6">
        <v>40064</v>
      </c>
      <c r="B2933">
        <v>3.2927E-4</v>
      </c>
    </row>
    <row r="2934" spans="1:2" x14ac:dyDescent="0.25">
      <c r="A2934" s="6">
        <v>40065</v>
      </c>
      <c r="B2934">
        <v>3.2927E-4</v>
      </c>
    </row>
    <row r="2935" spans="1:2" x14ac:dyDescent="0.25">
      <c r="A2935" s="6">
        <v>40066</v>
      </c>
      <c r="B2935">
        <v>3.2927E-4</v>
      </c>
    </row>
    <row r="2936" spans="1:2" x14ac:dyDescent="0.25">
      <c r="A2936" s="6">
        <v>40067</v>
      </c>
      <c r="B2936">
        <v>3.2927E-4</v>
      </c>
    </row>
    <row r="2937" spans="1:2" x14ac:dyDescent="0.25">
      <c r="A2937" s="6">
        <v>40070</v>
      </c>
      <c r="B2937">
        <v>3.2927E-4</v>
      </c>
    </row>
    <row r="2938" spans="1:2" x14ac:dyDescent="0.25">
      <c r="A2938" s="6">
        <v>40071</v>
      </c>
      <c r="B2938">
        <v>3.2927E-4</v>
      </c>
    </row>
    <row r="2939" spans="1:2" x14ac:dyDescent="0.25">
      <c r="A2939" s="6">
        <v>40072</v>
      </c>
      <c r="B2939">
        <v>3.2927E-4</v>
      </c>
    </row>
    <row r="2940" spans="1:2" x14ac:dyDescent="0.25">
      <c r="A2940" s="6">
        <v>40073</v>
      </c>
      <c r="B2940">
        <v>3.2927E-4</v>
      </c>
    </row>
    <row r="2941" spans="1:2" x14ac:dyDescent="0.25">
      <c r="A2941" s="6">
        <v>40074</v>
      </c>
      <c r="B2941">
        <v>3.2927E-4</v>
      </c>
    </row>
    <row r="2942" spans="1:2" x14ac:dyDescent="0.25">
      <c r="A2942" s="6">
        <v>40077</v>
      </c>
      <c r="B2942">
        <v>3.2927E-4</v>
      </c>
    </row>
    <row r="2943" spans="1:2" x14ac:dyDescent="0.25">
      <c r="A2943" s="6">
        <v>40078</v>
      </c>
      <c r="B2943">
        <v>3.2927E-4</v>
      </c>
    </row>
    <row r="2944" spans="1:2" x14ac:dyDescent="0.25">
      <c r="A2944" s="6">
        <v>40079</v>
      </c>
      <c r="B2944">
        <v>3.2927E-4</v>
      </c>
    </row>
    <row r="2945" spans="1:2" x14ac:dyDescent="0.25">
      <c r="A2945" s="6">
        <v>40080</v>
      </c>
      <c r="B2945">
        <v>3.2927E-4</v>
      </c>
    </row>
    <row r="2946" spans="1:2" x14ac:dyDescent="0.25">
      <c r="A2946" s="6">
        <v>40081</v>
      </c>
      <c r="B2946">
        <v>3.2927E-4</v>
      </c>
    </row>
    <row r="2947" spans="1:2" x14ac:dyDescent="0.25">
      <c r="A2947" s="6">
        <v>40084</v>
      </c>
      <c r="B2947">
        <v>3.2927E-4</v>
      </c>
    </row>
    <row r="2948" spans="1:2" x14ac:dyDescent="0.25">
      <c r="A2948" s="6">
        <v>40085</v>
      </c>
      <c r="B2948">
        <v>3.2927E-4</v>
      </c>
    </row>
    <row r="2949" spans="1:2" x14ac:dyDescent="0.25">
      <c r="A2949" s="6">
        <v>40086</v>
      </c>
      <c r="B2949">
        <v>3.2927E-4</v>
      </c>
    </row>
    <row r="2950" spans="1:2" x14ac:dyDescent="0.25">
      <c r="A2950" s="6">
        <v>40087</v>
      </c>
      <c r="B2950">
        <v>3.2927E-4</v>
      </c>
    </row>
    <row r="2951" spans="1:2" x14ac:dyDescent="0.25">
      <c r="A2951" s="6">
        <v>40088</v>
      </c>
      <c r="B2951">
        <v>3.2927E-4</v>
      </c>
    </row>
    <row r="2952" spans="1:2" x14ac:dyDescent="0.25">
      <c r="A2952" s="6">
        <v>40091</v>
      </c>
      <c r="B2952">
        <v>3.2927E-4</v>
      </c>
    </row>
    <row r="2953" spans="1:2" x14ac:dyDescent="0.25">
      <c r="A2953" s="6">
        <v>40092</v>
      </c>
      <c r="B2953">
        <v>3.2927E-4</v>
      </c>
    </row>
    <row r="2954" spans="1:2" x14ac:dyDescent="0.25">
      <c r="A2954" s="6">
        <v>40093</v>
      </c>
      <c r="B2954">
        <v>3.2927E-4</v>
      </c>
    </row>
    <row r="2955" spans="1:2" x14ac:dyDescent="0.25">
      <c r="A2955" s="6">
        <v>40094</v>
      </c>
      <c r="B2955">
        <v>3.2927E-4</v>
      </c>
    </row>
    <row r="2956" spans="1:2" x14ac:dyDescent="0.25">
      <c r="A2956" s="6">
        <v>40095</v>
      </c>
      <c r="B2956">
        <v>3.2927E-4</v>
      </c>
    </row>
    <row r="2957" spans="1:2" x14ac:dyDescent="0.25">
      <c r="A2957" s="6">
        <v>40099</v>
      </c>
      <c r="B2957">
        <v>3.2927E-4</v>
      </c>
    </row>
    <row r="2958" spans="1:2" x14ac:dyDescent="0.25">
      <c r="A2958" s="6">
        <v>40100</v>
      </c>
      <c r="B2958">
        <v>3.2927E-4</v>
      </c>
    </row>
    <row r="2959" spans="1:2" x14ac:dyDescent="0.25">
      <c r="A2959" s="6">
        <v>40101</v>
      </c>
      <c r="B2959">
        <v>3.2927E-4</v>
      </c>
    </row>
    <row r="2960" spans="1:2" x14ac:dyDescent="0.25">
      <c r="A2960" s="6">
        <v>40102</v>
      </c>
      <c r="B2960">
        <v>3.2927E-4</v>
      </c>
    </row>
    <row r="2961" spans="1:2" x14ac:dyDescent="0.25">
      <c r="A2961" s="6">
        <v>40105</v>
      </c>
      <c r="B2961">
        <v>3.2927E-4</v>
      </c>
    </row>
    <row r="2962" spans="1:2" x14ac:dyDescent="0.25">
      <c r="A2962" s="6">
        <v>40106</v>
      </c>
      <c r="B2962">
        <v>3.2927E-4</v>
      </c>
    </row>
    <row r="2963" spans="1:2" x14ac:dyDescent="0.25">
      <c r="A2963" s="6">
        <v>40107</v>
      </c>
      <c r="B2963">
        <v>3.2927E-4</v>
      </c>
    </row>
    <row r="2964" spans="1:2" x14ac:dyDescent="0.25">
      <c r="A2964" s="6">
        <v>40108</v>
      </c>
      <c r="B2964">
        <v>3.2927E-4</v>
      </c>
    </row>
    <row r="2965" spans="1:2" x14ac:dyDescent="0.25">
      <c r="A2965" s="6">
        <v>40109</v>
      </c>
      <c r="B2965">
        <v>3.2927E-4</v>
      </c>
    </row>
    <row r="2966" spans="1:2" x14ac:dyDescent="0.25">
      <c r="A2966" s="6">
        <v>40112</v>
      </c>
      <c r="B2966">
        <v>3.2927E-4</v>
      </c>
    </row>
    <row r="2967" spans="1:2" x14ac:dyDescent="0.25">
      <c r="A2967" s="6">
        <v>40113</v>
      </c>
      <c r="B2967">
        <v>3.2927E-4</v>
      </c>
    </row>
    <row r="2968" spans="1:2" x14ac:dyDescent="0.25">
      <c r="A2968" s="6">
        <v>40114</v>
      </c>
      <c r="B2968">
        <v>3.2927E-4</v>
      </c>
    </row>
    <row r="2969" spans="1:2" x14ac:dyDescent="0.25">
      <c r="A2969" s="6">
        <v>40115</v>
      </c>
      <c r="B2969">
        <v>3.2927E-4</v>
      </c>
    </row>
    <row r="2970" spans="1:2" x14ac:dyDescent="0.25">
      <c r="A2970" s="6">
        <v>40116</v>
      </c>
      <c r="B2970">
        <v>3.2927E-4</v>
      </c>
    </row>
    <row r="2971" spans="1:2" x14ac:dyDescent="0.25">
      <c r="A2971" s="6">
        <v>40120</v>
      </c>
      <c r="B2971">
        <v>3.2927E-4</v>
      </c>
    </row>
    <row r="2972" spans="1:2" x14ac:dyDescent="0.25">
      <c r="A2972" s="6">
        <v>40121</v>
      </c>
      <c r="B2972">
        <v>3.2927E-4</v>
      </c>
    </row>
    <row r="2973" spans="1:2" x14ac:dyDescent="0.25">
      <c r="A2973" s="6">
        <v>40122</v>
      </c>
      <c r="B2973">
        <v>3.2927E-4</v>
      </c>
    </row>
    <row r="2974" spans="1:2" x14ac:dyDescent="0.25">
      <c r="A2974" s="6">
        <v>40123</v>
      </c>
      <c r="B2974">
        <v>3.2927E-4</v>
      </c>
    </row>
    <row r="2975" spans="1:2" x14ac:dyDescent="0.25">
      <c r="A2975" s="6">
        <v>40126</v>
      </c>
      <c r="B2975">
        <v>3.2927E-4</v>
      </c>
    </row>
    <row r="2976" spans="1:2" x14ac:dyDescent="0.25">
      <c r="A2976" s="6">
        <v>40127</v>
      </c>
      <c r="B2976">
        <v>3.2927E-4</v>
      </c>
    </row>
    <row r="2977" spans="1:2" x14ac:dyDescent="0.25">
      <c r="A2977" s="6">
        <v>40128</v>
      </c>
      <c r="B2977">
        <v>3.2927E-4</v>
      </c>
    </row>
    <row r="2978" spans="1:2" x14ac:dyDescent="0.25">
      <c r="A2978" s="6">
        <v>40129</v>
      </c>
      <c r="B2978">
        <v>3.2927E-4</v>
      </c>
    </row>
    <row r="2979" spans="1:2" x14ac:dyDescent="0.25">
      <c r="A2979" s="6">
        <v>40130</v>
      </c>
      <c r="B2979">
        <v>3.2927E-4</v>
      </c>
    </row>
    <row r="2980" spans="1:2" x14ac:dyDescent="0.25">
      <c r="A2980" s="6">
        <v>40133</v>
      </c>
      <c r="B2980">
        <v>3.2927E-4</v>
      </c>
    </row>
    <row r="2981" spans="1:2" x14ac:dyDescent="0.25">
      <c r="A2981" s="6">
        <v>40134</v>
      </c>
      <c r="B2981">
        <v>3.2927E-4</v>
      </c>
    </row>
    <row r="2982" spans="1:2" x14ac:dyDescent="0.25">
      <c r="A2982" s="6">
        <v>40135</v>
      </c>
      <c r="B2982">
        <v>3.2927E-4</v>
      </c>
    </row>
    <row r="2983" spans="1:2" x14ac:dyDescent="0.25">
      <c r="A2983" s="6">
        <v>40136</v>
      </c>
      <c r="B2983">
        <v>3.2927E-4</v>
      </c>
    </row>
    <row r="2984" spans="1:2" x14ac:dyDescent="0.25">
      <c r="A2984" s="6">
        <v>40137</v>
      </c>
      <c r="B2984">
        <v>3.2927E-4</v>
      </c>
    </row>
    <row r="2985" spans="1:2" x14ac:dyDescent="0.25">
      <c r="A2985" s="6">
        <v>40140</v>
      </c>
      <c r="B2985">
        <v>3.2927E-4</v>
      </c>
    </row>
    <row r="2986" spans="1:2" x14ac:dyDescent="0.25">
      <c r="A2986" s="6">
        <v>40141</v>
      </c>
      <c r="B2986">
        <v>3.2927E-4</v>
      </c>
    </row>
    <row r="2987" spans="1:2" x14ac:dyDescent="0.25">
      <c r="A2987" s="6">
        <v>40142</v>
      </c>
      <c r="B2987">
        <v>3.2927E-4</v>
      </c>
    </row>
    <row r="2988" spans="1:2" x14ac:dyDescent="0.25">
      <c r="A2988" s="6">
        <v>40143</v>
      </c>
      <c r="B2988">
        <v>3.2927E-4</v>
      </c>
    </row>
    <row r="2989" spans="1:2" x14ac:dyDescent="0.25">
      <c r="A2989" s="6">
        <v>40144</v>
      </c>
      <c r="B2989">
        <v>3.2927E-4</v>
      </c>
    </row>
    <row r="2990" spans="1:2" x14ac:dyDescent="0.25">
      <c r="A2990" s="6">
        <v>40147</v>
      </c>
      <c r="B2990">
        <v>3.2927E-4</v>
      </c>
    </row>
    <row r="2991" spans="1:2" x14ac:dyDescent="0.25">
      <c r="A2991" s="6">
        <v>40148</v>
      </c>
      <c r="B2991">
        <v>3.2927E-4</v>
      </c>
    </row>
    <row r="2992" spans="1:2" x14ac:dyDescent="0.25">
      <c r="A2992" s="6">
        <v>40149</v>
      </c>
      <c r="B2992">
        <v>3.2927E-4</v>
      </c>
    </row>
    <row r="2993" spans="1:2" x14ac:dyDescent="0.25">
      <c r="A2993" s="6">
        <v>40150</v>
      </c>
      <c r="B2993">
        <v>3.2927E-4</v>
      </c>
    </row>
    <row r="2994" spans="1:2" x14ac:dyDescent="0.25">
      <c r="A2994" s="6">
        <v>40151</v>
      </c>
      <c r="B2994">
        <v>3.2927E-4</v>
      </c>
    </row>
    <row r="2995" spans="1:2" x14ac:dyDescent="0.25">
      <c r="A2995" s="6">
        <v>40154</v>
      </c>
      <c r="B2995">
        <v>3.2927E-4</v>
      </c>
    </row>
    <row r="2996" spans="1:2" x14ac:dyDescent="0.25">
      <c r="A2996" s="6">
        <v>40155</v>
      </c>
      <c r="B2996">
        <v>3.2927E-4</v>
      </c>
    </row>
    <row r="2997" spans="1:2" x14ac:dyDescent="0.25">
      <c r="A2997" s="6">
        <v>40156</v>
      </c>
      <c r="B2997">
        <v>3.2927E-4</v>
      </c>
    </row>
    <row r="2998" spans="1:2" x14ac:dyDescent="0.25">
      <c r="A2998" s="6">
        <v>40157</v>
      </c>
      <c r="B2998">
        <v>3.2927E-4</v>
      </c>
    </row>
    <row r="2999" spans="1:2" x14ac:dyDescent="0.25">
      <c r="A2999" s="6">
        <v>40158</v>
      </c>
      <c r="B2999">
        <v>3.2927E-4</v>
      </c>
    </row>
    <row r="3000" spans="1:2" x14ac:dyDescent="0.25">
      <c r="A3000" s="6">
        <v>40161</v>
      </c>
      <c r="B3000">
        <v>3.2927E-4</v>
      </c>
    </row>
    <row r="3001" spans="1:2" x14ac:dyDescent="0.25">
      <c r="A3001" s="6">
        <v>40162</v>
      </c>
      <c r="B3001">
        <v>3.2927E-4</v>
      </c>
    </row>
    <row r="3002" spans="1:2" x14ac:dyDescent="0.25">
      <c r="A3002" s="6">
        <v>40163</v>
      </c>
      <c r="B3002">
        <v>3.2927E-4</v>
      </c>
    </row>
    <row r="3003" spans="1:2" x14ac:dyDescent="0.25">
      <c r="A3003" s="6">
        <v>40164</v>
      </c>
      <c r="B3003">
        <v>3.2927E-4</v>
      </c>
    </row>
    <row r="3004" spans="1:2" x14ac:dyDescent="0.25">
      <c r="A3004" s="6">
        <v>40165</v>
      </c>
      <c r="B3004">
        <v>3.2927E-4</v>
      </c>
    </row>
    <row r="3005" spans="1:2" x14ac:dyDescent="0.25">
      <c r="A3005" s="6">
        <v>40168</v>
      </c>
      <c r="B3005">
        <v>3.2927E-4</v>
      </c>
    </row>
    <row r="3006" spans="1:2" x14ac:dyDescent="0.25">
      <c r="A3006" s="6">
        <v>40169</v>
      </c>
      <c r="B3006">
        <v>3.2927E-4</v>
      </c>
    </row>
    <row r="3007" spans="1:2" x14ac:dyDescent="0.25">
      <c r="A3007" s="6">
        <v>40170</v>
      </c>
      <c r="B3007">
        <v>3.2927E-4</v>
      </c>
    </row>
    <row r="3008" spans="1:2" x14ac:dyDescent="0.25">
      <c r="A3008" s="6">
        <v>40171</v>
      </c>
      <c r="B3008">
        <v>3.2927E-4</v>
      </c>
    </row>
    <row r="3009" spans="1:2" x14ac:dyDescent="0.25">
      <c r="A3009" s="6">
        <v>40175</v>
      </c>
      <c r="B3009">
        <v>3.2927E-4</v>
      </c>
    </row>
    <row r="3010" spans="1:2" x14ac:dyDescent="0.25">
      <c r="A3010" s="6">
        <v>40176</v>
      </c>
      <c r="B3010">
        <v>3.2890000000000003E-4</v>
      </c>
    </row>
    <row r="3011" spans="1:2" x14ac:dyDescent="0.25">
      <c r="A3011" s="6">
        <v>40177</v>
      </c>
      <c r="B3011">
        <v>3.2927E-4</v>
      </c>
    </row>
    <row r="3012" spans="1:2" x14ac:dyDescent="0.25">
      <c r="A3012" s="6">
        <v>40178</v>
      </c>
      <c r="B3012">
        <v>3.2927E-4</v>
      </c>
    </row>
    <row r="3013" spans="1:2" x14ac:dyDescent="0.25">
      <c r="A3013" s="6">
        <v>40182</v>
      </c>
      <c r="B3013">
        <v>3.2927E-4</v>
      </c>
    </row>
    <row r="3014" spans="1:2" x14ac:dyDescent="0.25">
      <c r="A3014" s="6">
        <v>40183</v>
      </c>
      <c r="B3014">
        <v>3.2927E-4</v>
      </c>
    </row>
    <row r="3015" spans="1:2" x14ac:dyDescent="0.25">
      <c r="A3015" s="6">
        <v>40184</v>
      </c>
      <c r="B3015">
        <v>3.2927E-4</v>
      </c>
    </row>
    <row r="3016" spans="1:2" x14ac:dyDescent="0.25">
      <c r="A3016" s="6">
        <v>40185</v>
      </c>
      <c r="B3016">
        <v>3.2927E-4</v>
      </c>
    </row>
    <row r="3017" spans="1:2" x14ac:dyDescent="0.25">
      <c r="A3017" s="6">
        <v>40186</v>
      </c>
      <c r="B3017">
        <v>3.2927E-4</v>
      </c>
    </row>
    <row r="3018" spans="1:2" x14ac:dyDescent="0.25">
      <c r="A3018" s="6">
        <v>40189</v>
      </c>
      <c r="B3018">
        <v>3.2927E-4</v>
      </c>
    </row>
    <row r="3019" spans="1:2" x14ac:dyDescent="0.25">
      <c r="A3019" s="6">
        <v>40190</v>
      </c>
      <c r="B3019">
        <v>3.2927E-4</v>
      </c>
    </row>
    <row r="3020" spans="1:2" x14ac:dyDescent="0.25">
      <c r="A3020" s="6">
        <v>40191</v>
      </c>
      <c r="B3020">
        <v>3.2927E-4</v>
      </c>
    </row>
    <row r="3021" spans="1:2" x14ac:dyDescent="0.25">
      <c r="A3021" s="6">
        <v>40192</v>
      </c>
      <c r="B3021">
        <v>3.2927E-4</v>
      </c>
    </row>
    <row r="3022" spans="1:2" x14ac:dyDescent="0.25">
      <c r="A3022" s="6">
        <v>40193</v>
      </c>
      <c r="B3022">
        <v>3.2927E-4</v>
      </c>
    </row>
    <row r="3023" spans="1:2" x14ac:dyDescent="0.25">
      <c r="A3023" s="6">
        <v>40196</v>
      </c>
      <c r="B3023">
        <v>3.2927E-4</v>
      </c>
    </row>
    <row r="3024" spans="1:2" x14ac:dyDescent="0.25">
      <c r="A3024" s="6">
        <v>40197</v>
      </c>
      <c r="B3024">
        <v>3.2927E-4</v>
      </c>
    </row>
    <row r="3025" spans="1:2" x14ac:dyDescent="0.25">
      <c r="A3025" s="6">
        <v>40198</v>
      </c>
      <c r="B3025">
        <v>3.2927E-4</v>
      </c>
    </row>
    <row r="3026" spans="1:2" x14ac:dyDescent="0.25">
      <c r="A3026" s="6">
        <v>40199</v>
      </c>
      <c r="B3026">
        <v>3.2927E-4</v>
      </c>
    </row>
    <row r="3027" spans="1:2" x14ac:dyDescent="0.25">
      <c r="A3027" s="6">
        <v>40200</v>
      </c>
      <c r="B3027">
        <v>3.2927E-4</v>
      </c>
    </row>
    <row r="3028" spans="1:2" x14ac:dyDescent="0.25">
      <c r="A3028" s="6">
        <v>40203</v>
      </c>
      <c r="B3028">
        <v>3.2927E-4</v>
      </c>
    </row>
    <row r="3029" spans="1:2" x14ac:dyDescent="0.25">
      <c r="A3029" s="6">
        <v>40204</v>
      </c>
      <c r="B3029">
        <v>3.2890000000000003E-4</v>
      </c>
    </row>
    <row r="3030" spans="1:2" x14ac:dyDescent="0.25">
      <c r="A3030" s="6">
        <v>40205</v>
      </c>
      <c r="B3030">
        <v>3.2927E-4</v>
      </c>
    </row>
    <row r="3031" spans="1:2" x14ac:dyDescent="0.25">
      <c r="A3031" s="6">
        <v>40206</v>
      </c>
      <c r="B3031">
        <v>3.2927E-4</v>
      </c>
    </row>
    <row r="3032" spans="1:2" x14ac:dyDescent="0.25">
      <c r="A3032" s="6">
        <v>40207</v>
      </c>
      <c r="B3032">
        <v>3.2927E-4</v>
      </c>
    </row>
    <row r="3033" spans="1:2" x14ac:dyDescent="0.25">
      <c r="A3033" s="6">
        <v>40210</v>
      </c>
      <c r="B3033">
        <v>3.2927E-4</v>
      </c>
    </row>
    <row r="3034" spans="1:2" x14ac:dyDescent="0.25">
      <c r="A3034" s="6">
        <v>40211</v>
      </c>
      <c r="B3034">
        <v>3.2927E-4</v>
      </c>
    </row>
    <row r="3035" spans="1:2" x14ac:dyDescent="0.25">
      <c r="A3035" s="6">
        <v>40212</v>
      </c>
      <c r="B3035">
        <v>3.2927E-4</v>
      </c>
    </row>
    <row r="3036" spans="1:2" x14ac:dyDescent="0.25">
      <c r="A3036" s="6">
        <v>40213</v>
      </c>
      <c r="B3036">
        <v>3.2927E-4</v>
      </c>
    </row>
    <row r="3037" spans="1:2" x14ac:dyDescent="0.25">
      <c r="A3037" s="6">
        <v>40214</v>
      </c>
      <c r="B3037">
        <v>3.2927E-4</v>
      </c>
    </row>
    <row r="3038" spans="1:2" x14ac:dyDescent="0.25">
      <c r="A3038" s="6">
        <v>40217</v>
      </c>
      <c r="B3038">
        <v>3.2927E-4</v>
      </c>
    </row>
    <row r="3039" spans="1:2" x14ac:dyDescent="0.25">
      <c r="A3039" s="6">
        <v>40218</v>
      </c>
      <c r="B3039">
        <v>3.2927E-4</v>
      </c>
    </row>
    <row r="3040" spans="1:2" x14ac:dyDescent="0.25">
      <c r="A3040" s="6">
        <v>40219</v>
      </c>
      <c r="B3040">
        <v>3.2927E-4</v>
      </c>
    </row>
    <row r="3041" spans="1:2" x14ac:dyDescent="0.25">
      <c r="A3041" s="6">
        <v>40220</v>
      </c>
      <c r="B3041">
        <v>3.2927E-4</v>
      </c>
    </row>
    <row r="3042" spans="1:2" x14ac:dyDescent="0.25">
      <c r="A3042" s="6">
        <v>40221</v>
      </c>
      <c r="B3042">
        <v>3.2927E-4</v>
      </c>
    </row>
    <row r="3043" spans="1:2" x14ac:dyDescent="0.25">
      <c r="A3043" s="6">
        <v>40226</v>
      </c>
      <c r="B3043">
        <v>3.2927E-4</v>
      </c>
    </row>
    <row r="3044" spans="1:2" x14ac:dyDescent="0.25">
      <c r="A3044" s="6">
        <v>40227</v>
      </c>
      <c r="B3044">
        <v>3.2927E-4</v>
      </c>
    </row>
    <row r="3045" spans="1:2" x14ac:dyDescent="0.25">
      <c r="A3045" s="6">
        <v>40228</v>
      </c>
      <c r="B3045">
        <v>3.2927E-4</v>
      </c>
    </row>
    <row r="3046" spans="1:2" x14ac:dyDescent="0.25">
      <c r="A3046" s="6">
        <v>40231</v>
      </c>
      <c r="B3046">
        <v>3.2927E-4</v>
      </c>
    </row>
    <row r="3047" spans="1:2" x14ac:dyDescent="0.25">
      <c r="A3047" s="6">
        <v>40232</v>
      </c>
      <c r="B3047">
        <v>3.2927E-4</v>
      </c>
    </row>
    <row r="3048" spans="1:2" x14ac:dyDescent="0.25">
      <c r="A3048" s="6">
        <v>40233</v>
      </c>
      <c r="B3048">
        <v>3.2927E-4</v>
      </c>
    </row>
    <row r="3049" spans="1:2" x14ac:dyDescent="0.25">
      <c r="A3049" s="6">
        <v>40234</v>
      </c>
      <c r="B3049">
        <v>3.2927E-4</v>
      </c>
    </row>
    <row r="3050" spans="1:2" x14ac:dyDescent="0.25">
      <c r="A3050" s="6">
        <v>40235</v>
      </c>
      <c r="B3050">
        <v>3.2927E-4</v>
      </c>
    </row>
    <row r="3051" spans="1:2" x14ac:dyDescent="0.25">
      <c r="A3051" s="6">
        <v>40238</v>
      </c>
      <c r="B3051">
        <v>3.2927E-4</v>
      </c>
    </row>
    <row r="3052" spans="1:2" x14ac:dyDescent="0.25">
      <c r="A3052" s="6">
        <v>40239</v>
      </c>
      <c r="B3052">
        <v>3.2927E-4</v>
      </c>
    </row>
    <row r="3053" spans="1:2" x14ac:dyDescent="0.25">
      <c r="A3053" s="6">
        <v>40240</v>
      </c>
      <c r="B3053">
        <v>3.2927E-4</v>
      </c>
    </row>
    <row r="3054" spans="1:2" x14ac:dyDescent="0.25">
      <c r="A3054" s="6">
        <v>40241</v>
      </c>
      <c r="B3054">
        <v>3.2927E-4</v>
      </c>
    </row>
    <row r="3055" spans="1:2" x14ac:dyDescent="0.25">
      <c r="A3055" s="6">
        <v>40242</v>
      </c>
      <c r="B3055">
        <v>3.2927E-4</v>
      </c>
    </row>
    <row r="3056" spans="1:2" x14ac:dyDescent="0.25">
      <c r="A3056" s="6">
        <v>40245</v>
      </c>
      <c r="B3056">
        <v>3.2927E-4</v>
      </c>
    </row>
    <row r="3057" spans="1:2" x14ac:dyDescent="0.25">
      <c r="A3057" s="6">
        <v>40246</v>
      </c>
      <c r="B3057">
        <v>3.2927E-4</v>
      </c>
    </row>
    <row r="3058" spans="1:2" x14ac:dyDescent="0.25">
      <c r="A3058" s="6">
        <v>40247</v>
      </c>
      <c r="B3058">
        <v>3.2927E-4</v>
      </c>
    </row>
    <row r="3059" spans="1:2" x14ac:dyDescent="0.25">
      <c r="A3059" s="6">
        <v>40248</v>
      </c>
      <c r="B3059">
        <v>3.2927E-4</v>
      </c>
    </row>
    <row r="3060" spans="1:2" x14ac:dyDescent="0.25">
      <c r="A3060" s="6">
        <v>40249</v>
      </c>
      <c r="B3060">
        <v>3.2927E-4</v>
      </c>
    </row>
    <row r="3061" spans="1:2" x14ac:dyDescent="0.25">
      <c r="A3061" s="6">
        <v>40252</v>
      </c>
      <c r="B3061">
        <v>3.2927E-4</v>
      </c>
    </row>
    <row r="3062" spans="1:2" x14ac:dyDescent="0.25">
      <c r="A3062" s="6">
        <v>40253</v>
      </c>
      <c r="B3062">
        <v>3.2927E-4</v>
      </c>
    </row>
    <row r="3063" spans="1:2" x14ac:dyDescent="0.25">
      <c r="A3063" s="6">
        <v>40254</v>
      </c>
      <c r="B3063">
        <v>3.2927E-4</v>
      </c>
    </row>
    <row r="3064" spans="1:2" x14ac:dyDescent="0.25">
      <c r="A3064" s="6">
        <v>40255</v>
      </c>
      <c r="B3064">
        <v>3.2927E-4</v>
      </c>
    </row>
    <row r="3065" spans="1:2" x14ac:dyDescent="0.25">
      <c r="A3065" s="6">
        <v>40256</v>
      </c>
      <c r="B3065">
        <v>3.2927E-4</v>
      </c>
    </row>
    <row r="3066" spans="1:2" x14ac:dyDescent="0.25">
      <c r="A3066" s="6">
        <v>40259</v>
      </c>
      <c r="B3066">
        <v>3.2927E-4</v>
      </c>
    </row>
    <row r="3067" spans="1:2" x14ac:dyDescent="0.25">
      <c r="A3067" s="6">
        <v>40260</v>
      </c>
      <c r="B3067">
        <v>3.2927E-4</v>
      </c>
    </row>
    <row r="3068" spans="1:2" x14ac:dyDescent="0.25">
      <c r="A3068" s="6">
        <v>40261</v>
      </c>
      <c r="B3068">
        <v>3.2927E-4</v>
      </c>
    </row>
    <row r="3069" spans="1:2" x14ac:dyDescent="0.25">
      <c r="A3069" s="6">
        <v>40262</v>
      </c>
      <c r="B3069">
        <v>3.2927E-4</v>
      </c>
    </row>
    <row r="3070" spans="1:2" x14ac:dyDescent="0.25">
      <c r="A3070" s="6">
        <v>40263</v>
      </c>
      <c r="B3070">
        <v>3.2927E-4</v>
      </c>
    </row>
    <row r="3071" spans="1:2" x14ac:dyDescent="0.25">
      <c r="A3071" s="6">
        <v>40266</v>
      </c>
      <c r="B3071">
        <v>3.2927E-4</v>
      </c>
    </row>
    <row r="3072" spans="1:2" x14ac:dyDescent="0.25">
      <c r="A3072" s="6">
        <v>40267</v>
      </c>
      <c r="B3072">
        <v>3.2927E-4</v>
      </c>
    </row>
    <row r="3073" spans="1:2" x14ac:dyDescent="0.25">
      <c r="A3073" s="6">
        <v>40268</v>
      </c>
      <c r="B3073">
        <v>3.2927E-4</v>
      </c>
    </row>
    <row r="3074" spans="1:2" x14ac:dyDescent="0.25">
      <c r="A3074" s="6">
        <v>40269</v>
      </c>
      <c r="B3074">
        <v>3.2927E-4</v>
      </c>
    </row>
    <row r="3075" spans="1:2" x14ac:dyDescent="0.25">
      <c r="A3075" s="6">
        <v>40273</v>
      </c>
      <c r="B3075">
        <v>3.2927E-4</v>
      </c>
    </row>
    <row r="3076" spans="1:2" x14ac:dyDescent="0.25">
      <c r="A3076" s="6">
        <v>40274</v>
      </c>
      <c r="B3076">
        <v>3.2927E-4</v>
      </c>
    </row>
    <row r="3077" spans="1:2" x14ac:dyDescent="0.25">
      <c r="A3077" s="6">
        <v>40275</v>
      </c>
      <c r="B3077">
        <v>3.2927E-4</v>
      </c>
    </row>
    <row r="3078" spans="1:2" x14ac:dyDescent="0.25">
      <c r="A3078" s="6">
        <v>40276</v>
      </c>
      <c r="B3078">
        <v>3.2927E-4</v>
      </c>
    </row>
    <row r="3079" spans="1:2" x14ac:dyDescent="0.25">
      <c r="A3079" s="6">
        <v>40277</v>
      </c>
      <c r="B3079">
        <v>3.2927E-4</v>
      </c>
    </row>
    <row r="3080" spans="1:2" x14ac:dyDescent="0.25">
      <c r="A3080" s="6">
        <v>40280</v>
      </c>
      <c r="B3080">
        <v>3.2927E-4</v>
      </c>
    </row>
    <row r="3081" spans="1:2" x14ac:dyDescent="0.25">
      <c r="A3081" s="6">
        <v>40281</v>
      </c>
      <c r="B3081">
        <v>3.2927E-4</v>
      </c>
    </row>
    <row r="3082" spans="1:2" x14ac:dyDescent="0.25">
      <c r="A3082" s="6">
        <v>40282</v>
      </c>
      <c r="B3082">
        <v>3.2927E-4</v>
      </c>
    </row>
    <row r="3083" spans="1:2" x14ac:dyDescent="0.25">
      <c r="A3083" s="6">
        <v>40283</v>
      </c>
      <c r="B3083">
        <v>3.2927E-4</v>
      </c>
    </row>
    <row r="3084" spans="1:2" x14ac:dyDescent="0.25">
      <c r="A3084" s="6">
        <v>40284</v>
      </c>
      <c r="B3084">
        <v>3.2927E-4</v>
      </c>
    </row>
    <row r="3085" spans="1:2" x14ac:dyDescent="0.25">
      <c r="A3085" s="6">
        <v>40287</v>
      </c>
      <c r="B3085">
        <v>3.2927E-4</v>
      </c>
    </row>
    <row r="3086" spans="1:2" x14ac:dyDescent="0.25">
      <c r="A3086" s="6">
        <v>40288</v>
      </c>
      <c r="B3086">
        <v>3.2927E-4</v>
      </c>
    </row>
    <row r="3087" spans="1:2" x14ac:dyDescent="0.25">
      <c r="A3087" s="6">
        <v>40290</v>
      </c>
      <c r="B3087">
        <v>3.2927E-4</v>
      </c>
    </row>
    <row r="3088" spans="1:2" x14ac:dyDescent="0.25">
      <c r="A3088" s="6">
        <v>40291</v>
      </c>
      <c r="B3088">
        <v>3.2890000000000003E-4</v>
      </c>
    </row>
    <row r="3089" spans="1:2" x14ac:dyDescent="0.25">
      <c r="A3089" s="6">
        <v>40294</v>
      </c>
      <c r="B3089">
        <v>3.2890000000000003E-4</v>
      </c>
    </row>
    <row r="3090" spans="1:2" x14ac:dyDescent="0.25">
      <c r="A3090" s="6">
        <v>40295</v>
      </c>
      <c r="B3090">
        <v>3.2890000000000003E-4</v>
      </c>
    </row>
    <row r="3091" spans="1:2" x14ac:dyDescent="0.25">
      <c r="A3091" s="6">
        <v>40296</v>
      </c>
      <c r="B3091">
        <v>3.2890000000000003E-4</v>
      </c>
    </row>
    <row r="3092" spans="1:2" x14ac:dyDescent="0.25">
      <c r="A3092" s="6">
        <v>40297</v>
      </c>
      <c r="B3092">
        <v>3.5620999999999998E-4</v>
      </c>
    </row>
    <row r="3093" spans="1:2" x14ac:dyDescent="0.25">
      <c r="A3093" s="6">
        <v>40298</v>
      </c>
      <c r="B3093">
        <v>3.5657000000000001E-4</v>
      </c>
    </row>
    <row r="3094" spans="1:2" x14ac:dyDescent="0.25">
      <c r="A3094" s="6">
        <v>40301</v>
      </c>
      <c r="B3094">
        <v>3.5657000000000001E-4</v>
      </c>
    </row>
    <row r="3095" spans="1:2" x14ac:dyDescent="0.25">
      <c r="A3095" s="6">
        <v>40302</v>
      </c>
      <c r="B3095">
        <v>3.5657000000000001E-4</v>
      </c>
    </row>
    <row r="3096" spans="1:2" x14ac:dyDescent="0.25">
      <c r="A3096" s="6">
        <v>40303</v>
      </c>
      <c r="B3096">
        <v>3.5657000000000001E-4</v>
      </c>
    </row>
    <row r="3097" spans="1:2" x14ac:dyDescent="0.25">
      <c r="A3097" s="6">
        <v>40304</v>
      </c>
      <c r="B3097">
        <v>3.5657000000000001E-4</v>
      </c>
    </row>
    <row r="3098" spans="1:2" x14ac:dyDescent="0.25">
      <c r="A3098" s="6">
        <v>40305</v>
      </c>
      <c r="B3098">
        <v>3.5657000000000001E-4</v>
      </c>
    </row>
    <row r="3099" spans="1:2" x14ac:dyDescent="0.25">
      <c r="A3099" s="6">
        <v>40308</v>
      </c>
      <c r="B3099">
        <v>3.5657000000000001E-4</v>
      </c>
    </row>
    <row r="3100" spans="1:2" x14ac:dyDescent="0.25">
      <c r="A3100" s="6">
        <v>40309</v>
      </c>
      <c r="B3100">
        <v>3.5657000000000001E-4</v>
      </c>
    </row>
    <row r="3101" spans="1:2" x14ac:dyDescent="0.25">
      <c r="A3101" s="6">
        <v>40310</v>
      </c>
      <c r="B3101">
        <v>3.5657000000000001E-4</v>
      </c>
    </row>
    <row r="3102" spans="1:2" x14ac:dyDescent="0.25">
      <c r="A3102" s="6">
        <v>40311</v>
      </c>
      <c r="B3102">
        <v>3.5657000000000001E-4</v>
      </c>
    </row>
    <row r="3103" spans="1:2" x14ac:dyDescent="0.25">
      <c r="A3103" s="6">
        <v>40312</v>
      </c>
      <c r="B3103">
        <v>3.5657000000000001E-4</v>
      </c>
    </row>
    <row r="3104" spans="1:2" x14ac:dyDescent="0.25">
      <c r="A3104" s="6">
        <v>40315</v>
      </c>
      <c r="B3104">
        <v>3.5657000000000001E-4</v>
      </c>
    </row>
    <row r="3105" spans="1:2" x14ac:dyDescent="0.25">
      <c r="A3105" s="6">
        <v>40316</v>
      </c>
      <c r="B3105">
        <v>3.5657000000000001E-4</v>
      </c>
    </row>
    <row r="3106" spans="1:2" x14ac:dyDescent="0.25">
      <c r="A3106" s="6">
        <v>40317</v>
      </c>
      <c r="B3106">
        <v>3.5657000000000001E-4</v>
      </c>
    </row>
    <row r="3107" spans="1:2" x14ac:dyDescent="0.25">
      <c r="A3107" s="6">
        <v>40318</v>
      </c>
      <c r="B3107">
        <v>3.5657000000000001E-4</v>
      </c>
    </row>
    <row r="3108" spans="1:2" x14ac:dyDescent="0.25">
      <c r="A3108" s="6">
        <v>40319</v>
      </c>
      <c r="B3108">
        <v>3.5657000000000001E-4</v>
      </c>
    </row>
    <row r="3109" spans="1:2" x14ac:dyDescent="0.25">
      <c r="A3109" s="6">
        <v>40322</v>
      </c>
      <c r="B3109">
        <v>3.5620999999999998E-4</v>
      </c>
    </row>
    <row r="3110" spans="1:2" x14ac:dyDescent="0.25">
      <c r="A3110" s="6">
        <v>40323</v>
      </c>
      <c r="B3110">
        <v>3.5657000000000001E-4</v>
      </c>
    </row>
    <row r="3111" spans="1:2" x14ac:dyDescent="0.25">
      <c r="A3111" s="6">
        <v>40324</v>
      </c>
      <c r="B3111">
        <v>3.5657000000000001E-4</v>
      </c>
    </row>
    <row r="3112" spans="1:2" x14ac:dyDescent="0.25">
      <c r="A3112" s="6">
        <v>40325</v>
      </c>
      <c r="B3112">
        <v>3.5657000000000001E-4</v>
      </c>
    </row>
    <row r="3113" spans="1:2" x14ac:dyDescent="0.25">
      <c r="A3113" s="6">
        <v>40326</v>
      </c>
      <c r="B3113">
        <v>3.5620999999999998E-4</v>
      </c>
    </row>
    <row r="3114" spans="1:2" x14ac:dyDescent="0.25">
      <c r="A3114" s="6">
        <v>40329</v>
      </c>
      <c r="B3114">
        <v>3.5620999999999998E-4</v>
      </c>
    </row>
    <row r="3115" spans="1:2" x14ac:dyDescent="0.25">
      <c r="A3115" s="6">
        <v>40330</v>
      </c>
      <c r="B3115">
        <v>3.5657000000000001E-4</v>
      </c>
    </row>
    <row r="3116" spans="1:2" x14ac:dyDescent="0.25">
      <c r="A3116" s="6">
        <v>40331</v>
      </c>
      <c r="B3116">
        <v>3.5657000000000001E-4</v>
      </c>
    </row>
    <row r="3117" spans="1:2" x14ac:dyDescent="0.25">
      <c r="A3117" s="6">
        <v>40333</v>
      </c>
      <c r="B3117">
        <v>3.5657000000000001E-4</v>
      </c>
    </row>
    <row r="3118" spans="1:2" x14ac:dyDescent="0.25">
      <c r="A3118" s="6">
        <v>40336</v>
      </c>
      <c r="B3118">
        <v>3.5657000000000001E-4</v>
      </c>
    </row>
    <row r="3119" spans="1:2" x14ac:dyDescent="0.25">
      <c r="A3119" s="6">
        <v>40337</v>
      </c>
      <c r="B3119">
        <v>3.5657000000000001E-4</v>
      </c>
    </row>
    <row r="3120" spans="1:2" x14ac:dyDescent="0.25">
      <c r="A3120" s="6">
        <v>40338</v>
      </c>
      <c r="B3120">
        <v>3.5657000000000001E-4</v>
      </c>
    </row>
    <row r="3121" spans="1:2" x14ac:dyDescent="0.25">
      <c r="A3121" s="6">
        <v>40339</v>
      </c>
      <c r="B3121">
        <v>3.837E-4</v>
      </c>
    </row>
    <row r="3122" spans="1:2" x14ac:dyDescent="0.25">
      <c r="A3122" s="6">
        <v>40340</v>
      </c>
      <c r="B3122">
        <v>3.837E-4</v>
      </c>
    </row>
    <row r="3123" spans="1:2" x14ac:dyDescent="0.25">
      <c r="A3123" s="6">
        <v>40343</v>
      </c>
      <c r="B3123">
        <v>3.837E-4</v>
      </c>
    </row>
    <row r="3124" spans="1:2" x14ac:dyDescent="0.25">
      <c r="A3124" s="6">
        <v>40344</v>
      </c>
      <c r="B3124">
        <v>3.837E-4</v>
      </c>
    </row>
    <row r="3125" spans="1:2" x14ac:dyDescent="0.25">
      <c r="A3125" s="6">
        <v>40345</v>
      </c>
      <c r="B3125">
        <v>3.837E-4</v>
      </c>
    </row>
    <row r="3126" spans="1:2" x14ac:dyDescent="0.25">
      <c r="A3126" s="6">
        <v>40346</v>
      </c>
      <c r="B3126">
        <v>3.837E-4</v>
      </c>
    </row>
    <row r="3127" spans="1:2" x14ac:dyDescent="0.25">
      <c r="A3127" s="6">
        <v>40347</v>
      </c>
      <c r="B3127">
        <v>3.837E-4</v>
      </c>
    </row>
    <row r="3128" spans="1:2" x14ac:dyDescent="0.25">
      <c r="A3128" s="6">
        <v>40350</v>
      </c>
      <c r="B3128">
        <v>3.837E-4</v>
      </c>
    </row>
    <row r="3129" spans="1:2" x14ac:dyDescent="0.25">
      <c r="A3129" s="6">
        <v>40351</v>
      </c>
      <c r="B3129">
        <v>3.837E-4</v>
      </c>
    </row>
    <row r="3130" spans="1:2" x14ac:dyDescent="0.25">
      <c r="A3130" s="6">
        <v>40352</v>
      </c>
      <c r="B3130">
        <v>3.837E-4</v>
      </c>
    </row>
    <row r="3131" spans="1:2" x14ac:dyDescent="0.25">
      <c r="A3131" s="6">
        <v>40353</v>
      </c>
      <c r="B3131">
        <v>3.837E-4</v>
      </c>
    </row>
    <row r="3132" spans="1:2" x14ac:dyDescent="0.25">
      <c r="A3132" s="6">
        <v>40354</v>
      </c>
      <c r="B3132">
        <v>3.837E-4</v>
      </c>
    </row>
    <row r="3133" spans="1:2" x14ac:dyDescent="0.25">
      <c r="A3133" s="6">
        <v>40357</v>
      </c>
      <c r="B3133">
        <v>3.8406000000000003E-4</v>
      </c>
    </row>
    <row r="3134" spans="1:2" x14ac:dyDescent="0.25">
      <c r="A3134" s="6">
        <v>40358</v>
      </c>
      <c r="B3134">
        <v>3.8406000000000003E-4</v>
      </c>
    </row>
    <row r="3135" spans="1:2" x14ac:dyDescent="0.25">
      <c r="A3135" s="6">
        <v>40359</v>
      </c>
      <c r="B3135">
        <v>3.8406000000000003E-4</v>
      </c>
    </row>
    <row r="3136" spans="1:2" x14ac:dyDescent="0.25">
      <c r="A3136" s="6">
        <v>40360</v>
      </c>
      <c r="B3136">
        <v>3.8406000000000003E-4</v>
      </c>
    </row>
    <row r="3137" spans="1:2" x14ac:dyDescent="0.25">
      <c r="A3137" s="6">
        <v>40361</v>
      </c>
      <c r="B3137">
        <v>3.8406000000000003E-4</v>
      </c>
    </row>
    <row r="3138" spans="1:2" x14ac:dyDescent="0.25">
      <c r="A3138" s="6">
        <v>40364</v>
      </c>
      <c r="B3138">
        <v>3.8406000000000003E-4</v>
      </c>
    </row>
    <row r="3139" spans="1:2" x14ac:dyDescent="0.25">
      <c r="A3139" s="6">
        <v>40365</v>
      </c>
      <c r="B3139">
        <v>3.8406000000000003E-4</v>
      </c>
    </row>
    <row r="3140" spans="1:2" x14ac:dyDescent="0.25">
      <c r="A3140" s="6">
        <v>40366</v>
      </c>
      <c r="B3140">
        <v>3.8406000000000003E-4</v>
      </c>
    </row>
    <row r="3141" spans="1:2" x14ac:dyDescent="0.25">
      <c r="A3141" s="6">
        <v>40367</v>
      </c>
      <c r="B3141">
        <v>3.8406000000000003E-4</v>
      </c>
    </row>
    <row r="3142" spans="1:2" x14ac:dyDescent="0.25">
      <c r="A3142" s="6">
        <v>40368</v>
      </c>
      <c r="B3142">
        <v>3.8406000000000003E-4</v>
      </c>
    </row>
    <row r="3143" spans="1:2" x14ac:dyDescent="0.25">
      <c r="A3143" s="6">
        <v>40371</v>
      </c>
      <c r="B3143">
        <v>3.8406000000000003E-4</v>
      </c>
    </row>
    <row r="3144" spans="1:2" x14ac:dyDescent="0.25">
      <c r="A3144" s="6">
        <v>40372</v>
      </c>
      <c r="B3144">
        <v>3.8406000000000003E-4</v>
      </c>
    </row>
    <row r="3145" spans="1:2" x14ac:dyDescent="0.25">
      <c r="A3145" s="6">
        <v>40373</v>
      </c>
      <c r="B3145">
        <v>3.8406000000000003E-4</v>
      </c>
    </row>
    <row r="3146" spans="1:2" x14ac:dyDescent="0.25">
      <c r="A3146" s="6">
        <v>40374</v>
      </c>
      <c r="B3146">
        <v>3.8406000000000003E-4</v>
      </c>
    </row>
    <row r="3147" spans="1:2" x14ac:dyDescent="0.25">
      <c r="A3147" s="6">
        <v>40375</v>
      </c>
      <c r="B3147">
        <v>3.8406000000000003E-4</v>
      </c>
    </row>
    <row r="3148" spans="1:2" x14ac:dyDescent="0.25">
      <c r="A3148" s="6">
        <v>40378</v>
      </c>
      <c r="B3148">
        <v>3.8406000000000003E-4</v>
      </c>
    </row>
    <row r="3149" spans="1:2" x14ac:dyDescent="0.25">
      <c r="A3149" s="6">
        <v>40379</v>
      </c>
      <c r="B3149">
        <v>3.8406000000000003E-4</v>
      </c>
    </row>
    <row r="3150" spans="1:2" x14ac:dyDescent="0.25">
      <c r="A3150" s="6">
        <v>40380</v>
      </c>
      <c r="B3150">
        <v>3.8406000000000003E-4</v>
      </c>
    </row>
    <row r="3151" spans="1:2" x14ac:dyDescent="0.25">
      <c r="A3151" s="6">
        <v>40381</v>
      </c>
      <c r="B3151">
        <v>4.0203000000000005E-4</v>
      </c>
    </row>
    <row r="3152" spans="1:2" x14ac:dyDescent="0.25">
      <c r="A3152" s="6">
        <v>40382</v>
      </c>
      <c r="B3152">
        <v>4.0203000000000005E-4</v>
      </c>
    </row>
    <row r="3153" spans="1:2" x14ac:dyDescent="0.25">
      <c r="A3153" s="6">
        <v>40385</v>
      </c>
      <c r="B3153">
        <v>4.0203000000000005E-4</v>
      </c>
    </row>
    <row r="3154" spans="1:2" x14ac:dyDescent="0.25">
      <c r="A3154" s="6">
        <v>40386</v>
      </c>
      <c r="B3154">
        <v>4.0203000000000005E-4</v>
      </c>
    </row>
    <row r="3155" spans="1:2" x14ac:dyDescent="0.25">
      <c r="A3155" s="6">
        <v>40387</v>
      </c>
      <c r="B3155">
        <v>4.0203000000000005E-4</v>
      </c>
    </row>
    <row r="3156" spans="1:2" x14ac:dyDescent="0.25">
      <c r="A3156" s="6">
        <v>40388</v>
      </c>
      <c r="B3156">
        <v>4.0203000000000005E-4</v>
      </c>
    </row>
    <row r="3157" spans="1:2" x14ac:dyDescent="0.25">
      <c r="A3157" s="6">
        <v>40389</v>
      </c>
      <c r="B3157">
        <v>4.0203000000000005E-4</v>
      </c>
    </row>
    <row r="3158" spans="1:2" x14ac:dyDescent="0.25">
      <c r="A3158" s="6">
        <v>40392</v>
      </c>
      <c r="B3158">
        <v>4.0203000000000005E-4</v>
      </c>
    </row>
    <row r="3159" spans="1:2" x14ac:dyDescent="0.25">
      <c r="A3159" s="6">
        <v>40393</v>
      </c>
      <c r="B3159">
        <v>4.0203000000000005E-4</v>
      </c>
    </row>
    <row r="3160" spans="1:2" x14ac:dyDescent="0.25">
      <c r="A3160" s="6">
        <v>40394</v>
      </c>
      <c r="B3160">
        <v>4.0203000000000005E-4</v>
      </c>
    </row>
    <row r="3161" spans="1:2" x14ac:dyDescent="0.25">
      <c r="A3161" s="6">
        <v>40395</v>
      </c>
      <c r="B3161">
        <v>4.0203000000000005E-4</v>
      </c>
    </row>
    <row r="3162" spans="1:2" x14ac:dyDescent="0.25">
      <c r="A3162" s="6">
        <v>40396</v>
      </c>
      <c r="B3162">
        <v>4.0203000000000005E-4</v>
      </c>
    </row>
    <row r="3163" spans="1:2" x14ac:dyDescent="0.25">
      <c r="A3163" s="6">
        <v>40399</v>
      </c>
      <c r="B3163">
        <v>4.0203000000000005E-4</v>
      </c>
    </row>
    <row r="3164" spans="1:2" x14ac:dyDescent="0.25">
      <c r="A3164" s="6">
        <v>40400</v>
      </c>
      <c r="B3164">
        <v>4.0203000000000005E-4</v>
      </c>
    </row>
    <row r="3165" spans="1:2" x14ac:dyDescent="0.25">
      <c r="A3165" s="6">
        <v>40401</v>
      </c>
      <c r="B3165">
        <v>4.0203000000000005E-4</v>
      </c>
    </row>
    <row r="3166" spans="1:2" x14ac:dyDescent="0.25">
      <c r="A3166" s="6">
        <v>40402</v>
      </c>
      <c r="B3166">
        <v>4.0203000000000005E-4</v>
      </c>
    </row>
    <row r="3167" spans="1:2" x14ac:dyDescent="0.25">
      <c r="A3167" s="6">
        <v>40403</v>
      </c>
      <c r="B3167">
        <v>4.0203000000000005E-4</v>
      </c>
    </row>
    <row r="3168" spans="1:2" x14ac:dyDescent="0.25">
      <c r="A3168" s="6">
        <v>40406</v>
      </c>
      <c r="B3168">
        <v>4.0203000000000005E-4</v>
      </c>
    </row>
    <row r="3169" spans="1:2" x14ac:dyDescent="0.25">
      <c r="A3169" s="6">
        <v>40407</v>
      </c>
      <c r="B3169">
        <v>4.0203000000000005E-4</v>
      </c>
    </row>
    <row r="3170" spans="1:2" x14ac:dyDescent="0.25">
      <c r="A3170" s="6">
        <v>40408</v>
      </c>
      <c r="B3170">
        <v>4.0203000000000005E-4</v>
      </c>
    </row>
    <row r="3171" spans="1:2" x14ac:dyDescent="0.25">
      <c r="A3171" s="6">
        <v>40409</v>
      </c>
      <c r="B3171">
        <v>4.0203000000000005E-4</v>
      </c>
    </row>
    <row r="3172" spans="1:2" x14ac:dyDescent="0.25">
      <c r="A3172" s="6">
        <v>40410</v>
      </c>
      <c r="B3172">
        <v>4.0203000000000005E-4</v>
      </c>
    </row>
    <row r="3173" spans="1:2" x14ac:dyDescent="0.25">
      <c r="A3173" s="6">
        <v>40413</v>
      </c>
      <c r="B3173">
        <v>4.0203000000000005E-4</v>
      </c>
    </row>
    <row r="3174" spans="1:2" x14ac:dyDescent="0.25">
      <c r="A3174" s="6">
        <v>40414</v>
      </c>
      <c r="B3174">
        <v>4.0203000000000005E-4</v>
      </c>
    </row>
    <row r="3175" spans="1:2" x14ac:dyDescent="0.25">
      <c r="A3175" s="6">
        <v>40415</v>
      </c>
      <c r="B3175">
        <v>4.0203000000000005E-4</v>
      </c>
    </row>
    <row r="3176" spans="1:2" x14ac:dyDescent="0.25">
      <c r="A3176" s="6">
        <v>40416</v>
      </c>
      <c r="B3176">
        <v>4.0203000000000005E-4</v>
      </c>
    </row>
    <row r="3177" spans="1:2" x14ac:dyDescent="0.25">
      <c r="A3177" s="6">
        <v>40417</v>
      </c>
      <c r="B3177">
        <v>4.0203000000000005E-4</v>
      </c>
    </row>
    <row r="3178" spans="1:2" x14ac:dyDescent="0.25">
      <c r="A3178" s="6">
        <v>40420</v>
      </c>
      <c r="B3178">
        <v>4.0203000000000005E-4</v>
      </c>
    </row>
    <row r="3179" spans="1:2" x14ac:dyDescent="0.25">
      <c r="A3179" s="6">
        <v>40421</v>
      </c>
      <c r="B3179">
        <v>4.0203000000000005E-4</v>
      </c>
    </row>
    <row r="3180" spans="1:2" x14ac:dyDescent="0.25">
      <c r="A3180" s="6">
        <v>40422</v>
      </c>
      <c r="B3180">
        <v>4.0203000000000005E-4</v>
      </c>
    </row>
    <row r="3181" spans="1:2" x14ac:dyDescent="0.25">
      <c r="A3181" s="6">
        <v>40423</v>
      </c>
      <c r="B3181">
        <v>4.0203000000000005E-4</v>
      </c>
    </row>
    <row r="3182" spans="1:2" x14ac:dyDescent="0.25">
      <c r="A3182" s="6">
        <v>40424</v>
      </c>
      <c r="B3182">
        <v>4.0203000000000005E-4</v>
      </c>
    </row>
    <row r="3183" spans="1:2" x14ac:dyDescent="0.25">
      <c r="A3183" s="6">
        <v>40427</v>
      </c>
      <c r="B3183">
        <v>4.0203000000000005E-4</v>
      </c>
    </row>
    <row r="3184" spans="1:2" x14ac:dyDescent="0.25">
      <c r="A3184" s="6">
        <v>40429</v>
      </c>
      <c r="B3184">
        <v>4.0203000000000005E-4</v>
      </c>
    </row>
    <row r="3185" spans="1:2" x14ac:dyDescent="0.25">
      <c r="A3185" s="6">
        <v>40430</v>
      </c>
      <c r="B3185">
        <v>4.0203000000000005E-4</v>
      </c>
    </row>
    <row r="3186" spans="1:2" x14ac:dyDescent="0.25">
      <c r="A3186" s="6">
        <v>40431</v>
      </c>
      <c r="B3186">
        <v>4.0203000000000005E-4</v>
      </c>
    </row>
    <row r="3187" spans="1:2" x14ac:dyDescent="0.25">
      <c r="A3187" s="6">
        <v>40434</v>
      </c>
      <c r="B3187">
        <v>4.0203000000000005E-4</v>
      </c>
    </row>
    <row r="3188" spans="1:2" x14ac:dyDescent="0.25">
      <c r="A3188" s="6">
        <v>40435</v>
      </c>
      <c r="B3188">
        <v>4.0203000000000005E-4</v>
      </c>
    </row>
    <row r="3189" spans="1:2" x14ac:dyDescent="0.25">
      <c r="A3189" s="6">
        <v>40436</v>
      </c>
      <c r="B3189">
        <v>4.0203000000000005E-4</v>
      </c>
    </row>
    <row r="3190" spans="1:2" x14ac:dyDescent="0.25">
      <c r="A3190" s="6">
        <v>40437</v>
      </c>
      <c r="B3190">
        <v>4.0203000000000005E-4</v>
      </c>
    </row>
    <row r="3191" spans="1:2" x14ac:dyDescent="0.25">
      <c r="A3191" s="6">
        <v>40438</v>
      </c>
      <c r="B3191">
        <v>4.0203000000000005E-4</v>
      </c>
    </row>
    <row r="3192" spans="1:2" x14ac:dyDescent="0.25">
      <c r="A3192" s="6">
        <v>40441</v>
      </c>
      <c r="B3192">
        <v>4.0203000000000005E-4</v>
      </c>
    </row>
    <row r="3193" spans="1:2" x14ac:dyDescent="0.25">
      <c r="A3193" s="6">
        <v>40442</v>
      </c>
      <c r="B3193">
        <v>4.0203000000000005E-4</v>
      </c>
    </row>
    <row r="3194" spans="1:2" x14ac:dyDescent="0.25">
      <c r="A3194" s="6">
        <v>40443</v>
      </c>
      <c r="B3194">
        <v>4.0203000000000005E-4</v>
      </c>
    </row>
    <row r="3195" spans="1:2" x14ac:dyDescent="0.25">
      <c r="A3195" s="6">
        <v>40444</v>
      </c>
      <c r="B3195">
        <v>4.0203000000000005E-4</v>
      </c>
    </row>
    <row r="3196" spans="1:2" x14ac:dyDescent="0.25">
      <c r="A3196" s="6">
        <v>40445</v>
      </c>
      <c r="B3196">
        <v>4.0203000000000005E-4</v>
      </c>
    </row>
    <row r="3197" spans="1:2" x14ac:dyDescent="0.25">
      <c r="A3197" s="6">
        <v>40448</v>
      </c>
      <c r="B3197">
        <v>4.0203000000000005E-4</v>
      </c>
    </row>
    <row r="3198" spans="1:2" x14ac:dyDescent="0.25">
      <c r="A3198" s="6">
        <v>40449</v>
      </c>
      <c r="B3198">
        <v>4.0203000000000005E-4</v>
      </c>
    </row>
    <row r="3199" spans="1:2" x14ac:dyDescent="0.25">
      <c r="A3199" s="6">
        <v>40450</v>
      </c>
      <c r="B3199">
        <v>4.0203000000000005E-4</v>
      </c>
    </row>
    <row r="3200" spans="1:2" x14ac:dyDescent="0.25">
      <c r="A3200" s="6">
        <v>40451</v>
      </c>
      <c r="B3200">
        <v>4.0203000000000005E-4</v>
      </c>
    </row>
    <row r="3201" spans="1:2" x14ac:dyDescent="0.25">
      <c r="A3201" s="6">
        <v>40452</v>
      </c>
      <c r="B3201">
        <v>4.0203000000000005E-4</v>
      </c>
    </row>
    <row r="3202" spans="1:2" x14ac:dyDescent="0.25">
      <c r="A3202" s="6">
        <v>40455</v>
      </c>
      <c r="B3202">
        <v>4.0203000000000005E-4</v>
      </c>
    </row>
    <row r="3203" spans="1:2" x14ac:dyDescent="0.25">
      <c r="A3203" s="6">
        <v>40456</v>
      </c>
      <c r="B3203">
        <v>4.0203000000000005E-4</v>
      </c>
    </row>
    <row r="3204" spans="1:2" x14ac:dyDescent="0.25">
      <c r="A3204" s="6">
        <v>40457</v>
      </c>
      <c r="B3204">
        <v>4.0203000000000005E-4</v>
      </c>
    </row>
    <row r="3205" spans="1:2" x14ac:dyDescent="0.25">
      <c r="A3205" s="6">
        <v>40458</v>
      </c>
      <c r="B3205">
        <v>4.0203000000000005E-4</v>
      </c>
    </row>
    <row r="3206" spans="1:2" x14ac:dyDescent="0.25">
      <c r="A3206" s="6">
        <v>40459</v>
      </c>
      <c r="B3206">
        <v>4.0203000000000005E-4</v>
      </c>
    </row>
    <row r="3207" spans="1:2" x14ac:dyDescent="0.25">
      <c r="A3207" s="6">
        <v>40462</v>
      </c>
      <c r="B3207">
        <v>4.0203000000000005E-4</v>
      </c>
    </row>
    <row r="3208" spans="1:2" x14ac:dyDescent="0.25">
      <c r="A3208" s="6">
        <v>40464</v>
      </c>
      <c r="B3208">
        <v>4.0203000000000005E-4</v>
      </c>
    </row>
    <row r="3209" spans="1:2" x14ac:dyDescent="0.25">
      <c r="A3209" s="6">
        <v>40465</v>
      </c>
      <c r="B3209">
        <v>4.0203000000000005E-4</v>
      </c>
    </row>
    <row r="3210" spans="1:2" x14ac:dyDescent="0.25">
      <c r="A3210" s="6">
        <v>40466</v>
      </c>
      <c r="B3210">
        <v>4.0203000000000005E-4</v>
      </c>
    </row>
    <row r="3211" spans="1:2" x14ac:dyDescent="0.25">
      <c r="A3211" s="6">
        <v>40469</v>
      </c>
      <c r="B3211">
        <v>4.0203000000000005E-4</v>
      </c>
    </row>
    <row r="3212" spans="1:2" x14ac:dyDescent="0.25">
      <c r="A3212" s="6">
        <v>40470</v>
      </c>
      <c r="B3212">
        <v>4.0203000000000005E-4</v>
      </c>
    </row>
    <row r="3213" spans="1:2" x14ac:dyDescent="0.25">
      <c r="A3213" s="6">
        <v>40471</v>
      </c>
      <c r="B3213">
        <v>4.0203000000000005E-4</v>
      </c>
    </row>
    <row r="3214" spans="1:2" x14ac:dyDescent="0.25">
      <c r="A3214" s="6">
        <v>40472</v>
      </c>
      <c r="B3214">
        <v>4.0203000000000005E-4</v>
      </c>
    </row>
    <row r="3215" spans="1:2" x14ac:dyDescent="0.25">
      <c r="A3215" s="6">
        <v>40473</v>
      </c>
      <c r="B3215">
        <v>4.0203000000000005E-4</v>
      </c>
    </row>
    <row r="3216" spans="1:2" x14ac:dyDescent="0.25">
      <c r="A3216" s="6">
        <v>40476</v>
      </c>
      <c r="B3216">
        <v>4.0203000000000005E-4</v>
      </c>
    </row>
    <row r="3217" spans="1:2" x14ac:dyDescent="0.25">
      <c r="A3217" s="6">
        <v>40477</v>
      </c>
      <c r="B3217">
        <v>4.0203000000000005E-4</v>
      </c>
    </row>
    <row r="3218" spans="1:2" x14ac:dyDescent="0.25">
      <c r="A3218" s="6">
        <v>40478</v>
      </c>
      <c r="B3218">
        <v>4.0203000000000005E-4</v>
      </c>
    </row>
    <row r="3219" spans="1:2" x14ac:dyDescent="0.25">
      <c r="A3219" s="6">
        <v>40479</v>
      </c>
      <c r="B3219">
        <v>4.0203000000000005E-4</v>
      </c>
    </row>
    <row r="3220" spans="1:2" x14ac:dyDescent="0.25">
      <c r="A3220" s="6">
        <v>40480</v>
      </c>
      <c r="B3220">
        <v>4.0203000000000005E-4</v>
      </c>
    </row>
    <row r="3221" spans="1:2" x14ac:dyDescent="0.25">
      <c r="A3221" s="6">
        <v>40483</v>
      </c>
      <c r="B3221">
        <v>4.0203000000000005E-4</v>
      </c>
    </row>
    <row r="3222" spans="1:2" x14ac:dyDescent="0.25">
      <c r="A3222" s="6">
        <v>40485</v>
      </c>
      <c r="B3222">
        <v>4.0203000000000005E-4</v>
      </c>
    </row>
    <row r="3223" spans="1:2" x14ac:dyDescent="0.25">
      <c r="A3223" s="6">
        <v>40486</v>
      </c>
      <c r="B3223">
        <v>4.0203000000000005E-4</v>
      </c>
    </row>
    <row r="3224" spans="1:2" x14ac:dyDescent="0.25">
      <c r="A3224" s="6">
        <v>40487</v>
      </c>
      <c r="B3224">
        <v>4.0203000000000005E-4</v>
      </c>
    </row>
    <row r="3225" spans="1:2" x14ac:dyDescent="0.25">
      <c r="A3225" s="6">
        <v>40490</v>
      </c>
      <c r="B3225">
        <v>4.0203000000000005E-4</v>
      </c>
    </row>
    <row r="3226" spans="1:2" x14ac:dyDescent="0.25">
      <c r="A3226" s="6">
        <v>40491</v>
      </c>
      <c r="B3226">
        <v>4.0203000000000005E-4</v>
      </c>
    </row>
    <row r="3227" spans="1:2" x14ac:dyDescent="0.25">
      <c r="A3227" s="6">
        <v>40492</v>
      </c>
      <c r="B3227">
        <v>4.0203000000000005E-4</v>
      </c>
    </row>
    <row r="3228" spans="1:2" x14ac:dyDescent="0.25">
      <c r="A3228" s="6">
        <v>40493</v>
      </c>
      <c r="B3228">
        <v>4.0203000000000005E-4</v>
      </c>
    </row>
    <row r="3229" spans="1:2" x14ac:dyDescent="0.25">
      <c r="A3229" s="6">
        <v>40494</v>
      </c>
      <c r="B3229">
        <v>4.0203000000000005E-4</v>
      </c>
    </row>
    <row r="3230" spans="1:2" x14ac:dyDescent="0.25">
      <c r="A3230" s="6">
        <v>40498</v>
      </c>
      <c r="B3230">
        <v>4.0203000000000005E-4</v>
      </c>
    </row>
    <row r="3231" spans="1:2" x14ac:dyDescent="0.25">
      <c r="A3231" s="6">
        <v>40499</v>
      </c>
      <c r="B3231">
        <v>4.0203000000000005E-4</v>
      </c>
    </row>
    <row r="3232" spans="1:2" x14ac:dyDescent="0.25">
      <c r="A3232" s="6">
        <v>40500</v>
      </c>
      <c r="B3232">
        <v>4.0203000000000005E-4</v>
      </c>
    </row>
    <row r="3233" spans="1:2" x14ac:dyDescent="0.25">
      <c r="A3233" s="6">
        <v>40501</v>
      </c>
      <c r="B3233">
        <v>4.0203000000000005E-4</v>
      </c>
    </row>
    <row r="3234" spans="1:2" x14ac:dyDescent="0.25">
      <c r="A3234" s="6">
        <v>40504</v>
      </c>
      <c r="B3234">
        <v>4.0203000000000005E-4</v>
      </c>
    </row>
    <row r="3235" spans="1:2" x14ac:dyDescent="0.25">
      <c r="A3235" s="6">
        <v>40505</v>
      </c>
      <c r="B3235">
        <v>4.0203000000000005E-4</v>
      </c>
    </row>
    <row r="3236" spans="1:2" x14ac:dyDescent="0.25">
      <c r="A3236" s="6">
        <v>40506</v>
      </c>
      <c r="B3236">
        <v>4.0203000000000005E-4</v>
      </c>
    </row>
    <row r="3237" spans="1:2" x14ac:dyDescent="0.25">
      <c r="A3237" s="6">
        <v>40507</v>
      </c>
      <c r="B3237">
        <v>4.0203000000000005E-4</v>
      </c>
    </row>
    <row r="3238" spans="1:2" x14ac:dyDescent="0.25">
      <c r="A3238" s="6">
        <v>40508</v>
      </c>
      <c r="B3238">
        <v>4.0203000000000005E-4</v>
      </c>
    </row>
    <row r="3239" spans="1:2" x14ac:dyDescent="0.25">
      <c r="A3239" s="6">
        <v>40511</v>
      </c>
      <c r="B3239">
        <v>4.0203000000000005E-4</v>
      </c>
    </row>
    <row r="3240" spans="1:2" x14ac:dyDescent="0.25">
      <c r="A3240" s="6">
        <v>40512</v>
      </c>
      <c r="B3240">
        <v>4.0203000000000005E-4</v>
      </c>
    </row>
    <row r="3241" spans="1:2" x14ac:dyDescent="0.25">
      <c r="A3241" s="6">
        <v>40513</v>
      </c>
      <c r="B3241">
        <v>4.0203000000000005E-4</v>
      </c>
    </row>
    <row r="3242" spans="1:2" x14ac:dyDescent="0.25">
      <c r="A3242" s="6">
        <v>40514</v>
      </c>
      <c r="B3242">
        <v>4.0203000000000005E-4</v>
      </c>
    </row>
    <row r="3243" spans="1:2" x14ac:dyDescent="0.25">
      <c r="A3243" s="6">
        <v>40515</v>
      </c>
      <c r="B3243">
        <v>4.0203000000000005E-4</v>
      </c>
    </row>
    <row r="3244" spans="1:2" x14ac:dyDescent="0.25">
      <c r="A3244" s="6">
        <v>40518</v>
      </c>
      <c r="B3244">
        <v>4.0203000000000005E-4</v>
      </c>
    </row>
    <row r="3245" spans="1:2" x14ac:dyDescent="0.25">
      <c r="A3245" s="6">
        <v>40519</v>
      </c>
      <c r="B3245">
        <v>4.0203000000000005E-4</v>
      </c>
    </row>
    <row r="3246" spans="1:2" x14ac:dyDescent="0.25">
      <c r="A3246" s="6">
        <v>40520</v>
      </c>
      <c r="B3246">
        <v>4.0203000000000005E-4</v>
      </c>
    </row>
    <row r="3247" spans="1:2" x14ac:dyDescent="0.25">
      <c r="A3247" s="6">
        <v>40521</v>
      </c>
      <c r="B3247">
        <v>4.0203000000000005E-4</v>
      </c>
    </row>
    <row r="3248" spans="1:2" x14ac:dyDescent="0.25">
      <c r="A3248" s="6">
        <v>40522</v>
      </c>
      <c r="B3248">
        <v>4.0203000000000005E-4</v>
      </c>
    </row>
    <row r="3249" spans="1:2" x14ac:dyDescent="0.25">
      <c r="A3249" s="6">
        <v>40525</v>
      </c>
      <c r="B3249">
        <v>4.0203000000000005E-4</v>
      </c>
    </row>
    <row r="3250" spans="1:2" x14ac:dyDescent="0.25">
      <c r="A3250" s="6">
        <v>40526</v>
      </c>
      <c r="B3250">
        <v>4.0203000000000005E-4</v>
      </c>
    </row>
    <row r="3251" spans="1:2" x14ac:dyDescent="0.25">
      <c r="A3251" s="6">
        <v>40527</v>
      </c>
      <c r="B3251">
        <v>4.0203000000000005E-4</v>
      </c>
    </row>
    <row r="3252" spans="1:2" x14ac:dyDescent="0.25">
      <c r="A3252" s="6">
        <v>40528</v>
      </c>
      <c r="B3252">
        <v>4.0238999999999997E-4</v>
      </c>
    </row>
    <row r="3253" spans="1:2" x14ac:dyDescent="0.25">
      <c r="A3253" s="6">
        <v>40529</v>
      </c>
      <c r="B3253">
        <v>4.0203000000000005E-4</v>
      </c>
    </row>
    <row r="3254" spans="1:2" x14ac:dyDescent="0.25">
      <c r="A3254" s="6">
        <v>40532</v>
      </c>
      <c r="B3254">
        <v>4.0203000000000005E-4</v>
      </c>
    </row>
    <row r="3255" spans="1:2" x14ac:dyDescent="0.25">
      <c r="A3255" s="6">
        <v>40533</v>
      </c>
      <c r="B3255">
        <v>4.0203000000000005E-4</v>
      </c>
    </row>
    <row r="3256" spans="1:2" x14ac:dyDescent="0.25">
      <c r="A3256" s="6">
        <v>40534</v>
      </c>
      <c r="B3256">
        <v>4.0203000000000005E-4</v>
      </c>
    </row>
    <row r="3257" spans="1:2" x14ac:dyDescent="0.25">
      <c r="A3257" s="6">
        <v>40535</v>
      </c>
      <c r="B3257">
        <v>4.0203000000000005E-4</v>
      </c>
    </row>
    <row r="3258" spans="1:2" x14ac:dyDescent="0.25">
      <c r="A3258" s="6">
        <v>40536</v>
      </c>
      <c r="B3258">
        <v>4.0203000000000005E-4</v>
      </c>
    </row>
    <row r="3259" spans="1:2" x14ac:dyDescent="0.25">
      <c r="A3259" s="6">
        <v>40539</v>
      </c>
      <c r="B3259">
        <v>4.0203000000000005E-4</v>
      </c>
    </row>
    <row r="3260" spans="1:2" x14ac:dyDescent="0.25">
      <c r="A3260" s="6">
        <v>40540</v>
      </c>
      <c r="B3260">
        <v>4.0203000000000005E-4</v>
      </c>
    </row>
    <row r="3261" spans="1:2" x14ac:dyDescent="0.25">
      <c r="A3261" s="6">
        <v>40541</v>
      </c>
      <c r="B3261">
        <v>4.0203000000000005E-4</v>
      </c>
    </row>
    <row r="3262" spans="1:2" x14ac:dyDescent="0.25">
      <c r="A3262" s="6">
        <v>40542</v>
      </c>
      <c r="B3262">
        <v>4.0238999999999997E-4</v>
      </c>
    </row>
    <row r="3263" spans="1:2" x14ac:dyDescent="0.25">
      <c r="A3263" s="6">
        <v>40543</v>
      </c>
      <c r="B3263">
        <v>4.0238999999999997E-4</v>
      </c>
    </row>
    <row r="3264" spans="1:2" x14ac:dyDescent="0.25">
      <c r="A3264" s="6">
        <v>40546</v>
      </c>
      <c r="B3264">
        <v>4.0238999999999997E-4</v>
      </c>
    </row>
    <row r="3265" spans="1:2" x14ac:dyDescent="0.25">
      <c r="A3265" s="6">
        <v>40547</v>
      </c>
      <c r="B3265">
        <v>4.0203000000000005E-4</v>
      </c>
    </row>
    <row r="3266" spans="1:2" x14ac:dyDescent="0.25">
      <c r="A3266" s="6">
        <v>40548</v>
      </c>
      <c r="B3266">
        <v>4.0238999999999997E-4</v>
      </c>
    </row>
    <row r="3267" spans="1:2" x14ac:dyDescent="0.25">
      <c r="A3267" s="6">
        <v>40549</v>
      </c>
      <c r="B3267">
        <v>4.0203000000000005E-4</v>
      </c>
    </row>
    <row r="3268" spans="1:2" x14ac:dyDescent="0.25">
      <c r="A3268" s="6">
        <v>40550</v>
      </c>
      <c r="B3268">
        <v>4.0238999999999997E-4</v>
      </c>
    </row>
    <row r="3269" spans="1:2" x14ac:dyDescent="0.25">
      <c r="A3269" s="6">
        <v>40553</v>
      </c>
      <c r="B3269">
        <v>4.0203000000000005E-4</v>
      </c>
    </row>
    <row r="3270" spans="1:2" x14ac:dyDescent="0.25">
      <c r="A3270" s="6">
        <v>40554</v>
      </c>
      <c r="B3270">
        <v>4.0203000000000005E-4</v>
      </c>
    </row>
    <row r="3271" spans="1:2" x14ac:dyDescent="0.25">
      <c r="A3271" s="6">
        <v>40555</v>
      </c>
      <c r="B3271">
        <v>4.0203000000000005E-4</v>
      </c>
    </row>
    <row r="3272" spans="1:2" x14ac:dyDescent="0.25">
      <c r="A3272" s="6">
        <v>40556</v>
      </c>
      <c r="B3272">
        <v>4.0203000000000005E-4</v>
      </c>
    </row>
    <row r="3273" spans="1:2" x14ac:dyDescent="0.25">
      <c r="A3273" s="6">
        <v>40557</v>
      </c>
      <c r="B3273">
        <v>4.0203000000000005E-4</v>
      </c>
    </row>
    <row r="3274" spans="1:2" x14ac:dyDescent="0.25">
      <c r="A3274" s="6">
        <v>40560</v>
      </c>
      <c r="B3274">
        <v>4.0203000000000005E-4</v>
      </c>
    </row>
    <row r="3275" spans="1:2" x14ac:dyDescent="0.25">
      <c r="A3275" s="6">
        <v>40561</v>
      </c>
      <c r="B3275">
        <v>4.0203000000000005E-4</v>
      </c>
    </row>
    <row r="3276" spans="1:2" x14ac:dyDescent="0.25">
      <c r="A3276" s="6">
        <v>40562</v>
      </c>
      <c r="B3276">
        <v>4.0203000000000005E-4</v>
      </c>
    </row>
    <row r="3277" spans="1:2" x14ac:dyDescent="0.25">
      <c r="A3277" s="6">
        <v>40563</v>
      </c>
      <c r="B3277">
        <v>4.1993E-4</v>
      </c>
    </row>
    <row r="3278" spans="1:2" x14ac:dyDescent="0.25">
      <c r="A3278" s="6">
        <v>40564</v>
      </c>
      <c r="B3278">
        <v>4.1993E-4</v>
      </c>
    </row>
    <row r="3279" spans="1:2" x14ac:dyDescent="0.25">
      <c r="A3279" s="6">
        <v>40567</v>
      </c>
      <c r="B3279">
        <v>4.1993E-4</v>
      </c>
    </row>
    <row r="3280" spans="1:2" x14ac:dyDescent="0.25">
      <c r="A3280" s="6">
        <v>40568</v>
      </c>
      <c r="B3280">
        <v>4.1993E-4</v>
      </c>
    </row>
    <row r="3281" spans="1:2" x14ac:dyDescent="0.25">
      <c r="A3281" s="6">
        <v>40569</v>
      </c>
      <c r="B3281">
        <v>4.1993E-4</v>
      </c>
    </row>
    <row r="3282" spans="1:2" x14ac:dyDescent="0.25">
      <c r="A3282" s="6">
        <v>40570</v>
      </c>
      <c r="B3282">
        <v>4.2028999999999998E-4</v>
      </c>
    </row>
    <row r="3283" spans="1:2" x14ac:dyDescent="0.25">
      <c r="A3283" s="6">
        <v>40571</v>
      </c>
      <c r="B3283">
        <v>4.2028999999999998E-4</v>
      </c>
    </row>
    <row r="3284" spans="1:2" x14ac:dyDescent="0.25">
      <c r="A3284" s="6">
        <v>40574</v>
      </c>
      <c r="B3284">
        <v>4.2028999999999998E-4</v>
      </c>
    </row>
    <row r="3285" spans="1:2" x14ac:dyDescent="0.25">
      <c r="A3285" s="6">
        <v>40575</v>
      </c>
      <c r="B3285">
        <v>4.1993E-4</v>
      </c>
    </row>
    <row r="3286" spans="1:2" x14ac:dyDescent="0.25">
      <c r="A3286" s="6">
        <v>40576</v>
      </c>
      <c r="B3286">
        <v>4.2028999999999998E-4</v>
      </c>
    </row>
    <row r="3287" spans="1:2" x14ac:dyDescent="0.25">
      <c r="A3287" s="6">
        <v>40577</v>
      </c>
      <c r="B3287">
        <v>4.2028999999999998E-4</v>
      </c>
    </row>
    <row r="3288" spans="1:2" x14ac:dyDescent="0.25">
      <c r="A3288" s="6">
        <v>40578</v>
      </c>
      <c r="B3288">
        <v>4.2028999999999998E-4</v>
      </c>
    </row>
    <row r="3289" spans="1:2" x14ac:dyDescent="0.25">
      <c r="A3289" s="6">
        <v>40581</v>
      </c>
      <c r="B3289">
        <v>4.2028999999999998E-4</v>
      </c>
    </row>
    <row r="3290" spans="1:2" x14ac:dyDescent="0.25">
      <c r="A3290" s="6">
        <v>40582</v>
      </c>
      <c r="B3290">
        <v>4.2028999999999998E-4</v>
      </c>
    </row>
    <row r="3291" spans="1:2" x14ac:dyDescent="0.25">
      <c r="A3291" s="6">
        <v>40583</v>
      </c>
      <c r="B3291">
        <v>4.2028999999999998E-4</v>
      </c>
    </row>
    <row r="3292" spans="1:2" x14ac:dyDescent="0.25">
      <c r="A3292" s="6">
        <v>40584</v>
      </c>
      <c r="B3292">
        <v>4.2028999999999998E-4</v>
      </c>
    </row>
    <row r="3293" spans="1:2" x14ac:dyDescent="0.25">
      <c r="A3293" s="6">
        <v>40585</v>
      </c>
      <c r="B3293">
        <v>4.2028999999999998E-4</v>
      </c>
    </row>
    <row r="3294" spans="1:2" x14ac:dyDescent="0.25">
      <c r="A3294" s="6">
        <v>40588</v>
      </c>
      <c r="B3294">
        <v>4.2028999999999998E-4</v>
      </c>
    </row>
    <row r="3295" spans="1:2" x14ac:dyDescent="0.25">
      <c r="A3295" s="6">
        <v>40589</v>
      </c>
      <c r="B3295">
        <v>4.2028999999999998E-4</v>
      </c>
    </row>
    <row r="3296" spans="1:2" x14ac:dyDescent="0.25">
      <c r="A3296" s="6">
        <v>40590</v>
      </c>
      <c r="B3296">
        <v>4.2028999999999998E-4</v>
      </c>
    </row>
    <row r="3297" spans="1:2" x14ac:dyDescent="0.25">
      <c r="A3297" s="6">
        <v>40591</v>
      </c>
      <c r="B3297">
        <v>4.2028999999999998E-4</v>
      </c>
    </row>
    <row r="3298" spans="1:2" x14ac:dyDescent="0.25">
      <c r="A3298" s="6">
        <v>40592</v>
      </c>
      <c r="B3298">
        <v>4.2028999999999998E-4</v>
      </c>
    </row>
    <row r="3299" spans="1:2" x14ac:dyDescent="0.25">
      <c r="A3299" s="6">
        <v>40595</v>
      </c>
      <c r="B3299">
        <v>4.2028999999999998E-4</v>
      </c>
    </row>
    <row r="3300" spans="1:2" x14ac:dyDescent="0.25">
      <c r="A3300" s="6">
        <v>40596</v>
      </c>
      <c r="B3300">
        <v>4.2028999999999998E-4</v>
      </c>
    </row>
    <row r="3301" spans="1:2" x14ac:dyDescent="0.25">
      <c r="A3301" s="6">
        <v>40597</v>
      </c>
      <c r="B3301">
        <v>4.2028999999999998E-4</v>
      </c>
    </row>
    <row r="3302" spans="1:2" x14ac:dyDescent="0.25">
      <c r="A3302" s="6">
        <v>40598</v>
      </c>
      <c r="B3302">
        <v>4.2028999999999998E-4</v>
      </c>
    </row>
    <row r="3303" spans="1:2" x14ac:dyDescent="0.25">
      <c r="A3303" s="6">
        <v>40599</v>
      </c>
      <c r="B3303">
        <v>4.2028999999999998E-4</v>
      </c>
    </row>
    <row r="3304" spans="1:2" x14ac:dyDescent="0.25">
      <c r="A3304" s="6">
        <v>40602</v>
      </c>
      <c r="B3304">
        <v>4.2028999999999998E-4</v>
      </c>
    </row>
    <row r="3305" spans="1:2" x14ac:dyDescent="0.25">
      <c r="A3305" s="6">
        <v>40603</v>
      </c>
      <c r="B3305">
        <v>4.2028999999999998E-4</v>
      </c>
    </row>
    <row r="3306" spans="1:2" x14ac:dyDescent="0.25">
      <c r="A3306" s="6">
        <v>40604</v>
      </c>
      <c r="B3306">
        <v>4.2028999999999998E-4</v>
      </c>
    </row>
    <row r="3307" spans="1:2" x14ac:dyDescent="0.25">
      <c r="A3307" s="6">
        <v>40605</v>
      </c>
      <c r="B3307">
        <v>4.3810000000000002E-4</v>
      </c>
    </row>
    <row r="3308" spans="1:2" x14ac:dyDescent="0.25">
      <c r="A3308" s="6">
        <v>40606</v>
      </c>
      <c r="B3308">
        <v>4.3810000000000002E-4</v>
      </c>
    </row>
    <row r="3309" spans="1:2" x14ac:dyDescent="0.25">
      <c r="A3309" s="6">
        <v>40611</v>
      </c>
      <c r="B3309">
        <v>4.3810000000000002E-4</v>
      </c>
    </row>
    <row r="3310" spans="1:2" x14ac:dyDescent="0.25">
      <c r="A3310" s="6">
        <v>40612</v>
      </c>
      <c r="B3310">
        <v>4.3810000000000002E-4</v>
      </c>
    </row>
    <row r="3311" spans="1:2" x14ac:dyDescent="0.25">
      <c r="A3311" s="6">
        <v>40613</v>
      </c>
      <c r="B3311">
        <v>4.3810000000000002E-4</v>
      </c>
    </row>
    <row r="3312" spans="1:2" x14ac:dyDescent="0.25">
      <c r="A3312" s="6">
        <v>40616</v>
      </c>
      <c r="B3312">
        <v>4.3810000000000002E-4</v>
      </c>
    </row>
    <row r="3313" spans="1:2" x14ac:dyDescent="0.25">
      <c r="A3313" s="6">
        <v>40617</v>
      </c>
      <c r="B3313">
        <v>4.3810000000000002E-4</v>
      </c>
    </row>
    <row r="3314" spans="1:2" x14ac:dyDescent="0.25">
      <c r="A3314" s="6">
        <v>40618</v>
      </c>
      <c r="B3314">
        <v>4.3810000000000002E-4</v>
      </c>
    </row>
    <row r="3315" spans="1:2" x14ac:dyDescent="0.25">
      <c r="A3315" s="6">
        <v>40619</v>
      </c>
      <c r="B3315">
        <v>4.3810000000000002E-4</v>
      </c>
    </row>
    <row r="3316" spans="1:2" x14ac:dyDescent="0.25">
      <c r="A3316" s="6">
        <v>40620</v>
      </c>
      <c r="B3316">
        <v>4.3810000000000002E-4</v>
      </c>
    </row>
    <row r="3317" spans="1:2" x14ac:dyDescent="0.25">
      <c r="A3317" s="6">
        <v>40623</v>
      </c>
      <c r="B3317">
        <v>4.3810000000000002E-4</v>
      </c>
    </row>
    <row r="3318" spans="1:2" x14ac:dyDescent="0.25">
      <c r="A3318" s="6">
        <v>40624</v>
      </c>
      <c r="B3318">
        <v>4.3810000000000002E-4</v>
      </c>
    </row>
    <row r="3319" spans="1:2" x14ac:dyDescent="0.25">
      <c r="A3319" s="6">
        <v>40625</v>
      </c>
      <c r="B3319">
        <v>4.3810000000000002E-4</v>
      </c>
    </row>
    <row r="3320" spans="1:2" x14ac:dyDescent="0.25">
      <c r="A3320" s="6">
        <v>40626</v>
      </c>
      <c r="B3320">
        <v>4.3810000000000002E-4</v>
      </c>
    </row>
    <row r="3321" spans="1:2" x14ac:dyDescent="0.25">
      <c r="A3321" s="6">
        <v>40627</v>
      </c>
      <c r="B3321">
        <v>4.3810000000000002E-4</v>
      </c>
    </row>
    <row r="3322" spans="1:2" x14ac:dyDescent="0.25">
      <c r="A3322" s="6">
        <v>40630</v>
      </c>
      <c r="B3322">
        <v>4.3810000000000002E-4</v>
      </c>
    </row>
    <row r="3323" spans="1:2" x14ac:dyDescent="0.25">
      <c r="A3323" s="6">
        <v>40631</v>
      </c>
      <c r="B3323">
        <v>4.3810000000000002E-4</v>
      </c>
    </row>
    <row r="3324" spans="1:2" x14ac:dyDescent="0.25">
      <c r="A3324" s="6">
        <v>40632</v>
      </c>
      <c r="B3324">
        <v>4.3810000000000002E-4</v>
      </c>
    </row>
    <row r="3325" spans="1:2" x14ac:dyDescent="0.25">
      <c r="A3325" s="6">
        <v>40633</v>
      </c>
      <c r="B3325">
        <v>4.3810000000000002E-4</v>
      </c>
    </row>
    <row r="3326" spans="1:2" x14ac:dyDescent="0.25">
      <c r="A3326" s="6">
        <v>40634</v>
      </c>
      <c r="B3326">
        <v>4.3810000000000002E-4</v>
      </c>
    </row>
    <row r="3327" spans="1:2" x14ac:dyDescent="0.25">
      <c r="A3327" s="6">
        <v>40637</v>
      </c>
      <c r="B3327">
        <v>4.3810000000000002E-4</v>
      </c>
    </row>
    <row r="3328" spans="1:2" x14ac:dyDescent="0.25">
      <c r="A3328" s="6">
        <v>40638</v>
      </c>
      <c r="B3328">
        <v>4.3810000000000002E-4</v>
      </c>
    </row>
    <row r="3329" spans="1:2" x14ac:dyDescent="0.25">
      <c r="A3329" s="6">
        <v>40639</v>
      </c>
      <c r="B3329">
        <v>4.3810000000000002E-4</v>
      </c>
    </row>
    <row r="3330" spans="1:2" x14ac:dyDescent="0.25">
      <c r="A3330" s="6">
        <v>40640</v>
      </c>
      <c r="B3330">
        <v>4.3810000000000002E-4</v>
      </c>
    </row>
    <row r="3331" spans="1:2" x14ac:dyDescent="0.25">
      <c r="A3331" s="6">
        <v>40641</v>
      </c>
      <c r="B3331">
        <v>4.3810000000000002E-4</v>
      </c>
    </row>
    <row r="3332" spans="1:2" x14ac:dyDescent="0.25">
      <c r="A3332" s="6">
        <v>40644</v>
      </c>
      <c r="B3332">
        <v>4.3810000000000002E-4</v>
      </c>
    </row>
    <row r="3333" spans="1:2" x14ac:dyDescent="0.25">
      <c r="A3333" s="6">
        <v>40645</v>
      </c>
      <c r="B3333">
        <v>4.3810000000000002E-4</v>
      </c>
    </row>
    <row r="3334" spans="1:2" x14ac:dyDescent="0.25">
      <c r="A3334" s="6">
        <v>40646</v>
      </c>
      <c r="B3334">
        <v>4.3810000000000002E-4</v>
      </c>
    </row>
    <row r="3335" spans="1:2" x14ac:dyDescent="0.25">
      <c r="A3335" s="6">
        <v>40647</v>
      </c>
      <c r="B3335">
        <v>4.3810000000000002E-4</v>
      </c>
    </row>
    <row r="3336" spans="1:2" x14ac:dyDescent="0.25">
      <c r="A3336" s="6">
        <v>40648</v>
      </c>
      <c r="B3336">
        <v>4.3810000000000002E-4</v>
      </c>
    </row>
    <row r="3337" spans="1:2" x14ac:dyDescent="0.25">
      <c r="A3337" s="6">
        <v>40651</v>
      </c>
      <c r="B3337">
        <v>4.3810000000000002E-4</v>
      </c>
    </row>
    <row r="3338" spans="1:2" x14ac:dyDescent="0.25">
      <c r="A3338" s="6">
        <v>40652</v>
      </c>
      <c r="B3338">
        <v>4.3810000000000002E-4</v>
      </c>
    </row>
    <row r="3339" spans="1:2" x14ac:dyDescent="0.25">
      <c r="A3339" s="6">
        <v>40653</v>
      </c>
      <c r="B3339">
        <v>4.3810000000000002E-4</v>
      </c>
    </row>
    <row r="3340" spans="1:2" x14ac:dyDescent="0.25">
      <c r="A3340" s="6">
        <v>40658</v>
      </c>
      <c r="B3340">
        <v>4.4698000000000003E-4</v>
      </c>
    </row>
    <row r="3341" spans="1:2" x14ac:dyDescent="0.25">
      <c r="A3341" s="6">
        <v>40659</v>
      </c>
      <c r="B3341">
        <v>4.4698000000000003E-4</v>
      </c>
    </row>
    <row r="3342" spans="1:2" x14ac:dyDescent="0.25">
      <c r="A3342" s="6">
        <v>40660</v>
      </c>
      <c r="B3342">
        <v>4.4698000000000003E-4</v>
      </c>
    </row>
    <row r="3343" spans="1:2" x14ac:dyDescent="0.25">
      <c r="A3343" s="6">
        <v>40661</v>
      </c>
      <c r="B3343">
        <v>4.4698000000000003E-4</v>
      </c>
    </row>
    <row r="3344" spans="1:2" x14ac:dyDescent="0.25">
      <c r="A3344" s="6">
        <v>40662</v>
      </c>
      <c r="B3344">
        <v>4.4698000000000003E-4</v>
      </c>
    </row>
    <row r="3345" spans="1:2" x14ac:dyDescent="0.25">
      <c r="A3345" s="6">
        <v>40665</v>
      </c>
      <c r="B3345">
        <v>4.4698000000000003E-4</v>
      </c>
    </row>
    <row r="3346" spans="1:2" x14ac:dyDescent="0.25">
      <c r="A3346" s="6">
        <v>40666</v>
      </c>
      <c r="B3346">
        <v>4.4698000000000003E-4</v>
      </c>
    </row>
    <row r="3347" spans="1:2" x14ac:dyDescent="0.25">
      <c r="A3347" s="6">
        <v>40667</v>
      </c>
      <c r="B3347">
        <v>4.4698000000000003E-4</v>
      </c>
    </row>
    <row r="3348" spans="1:2" x14ac:dyDescent="0.25">
      <c r="A3348" s="6">
        <v>40668</v>
      </c>
      <c r="B3348">
        <v>4.4698000000000003E-4</v>
      </c>
    </row>
    <row r="3349" spans="1:2" x14ac:dyDescent="0.25">
      <c r="A3349" s="6">
        <v>40669</v>
      </c>
      <c r="B3349">
        <v>4.4698000000000003E-4</v>
      </c>
    </row>
    <row r="3350" spans="1:2" x14ac:dyDescent="0.25">
      <c r="A3350" s="6">
        <v>40672</v>
      </c>
      <c r="B3350">
        <v>4.4698000000000003E-4</v>
      </c>
    </row>
    <row r="3351" spans="1:2" x14ac:dyDescent="0.25">
      <c r="A3351" s="6">
        <v>40673</v>
      </c>
      <c r="B3351">
        <v>4.4698000000000003E-4</v>
      </c>
    </row>
    <row r="3352" spans="1:2" x14ac:dyDescent="0.25">
      <c r="A3352" s="6">
        <v>40674</v>
      </c>
      <c r="B3352">
        <v>4.4698000000000003E-4</v>
      </c>
    </row>
    <row r="3353" spans="1:2" x14ac:dyDescent="0.25">
      <c r="A3353" s="6">
        <v>40675</v>
      </c>
      <c r="B3353">
        <v>4.4698000000000003E-4</v>
      </c>
    </row>
    <row r="3354" spans="1:2" x14ac:dyDescent="0.25">
      <c r="A3354" s="6">
        <v>40676</v>
      </c>
      <c r="B3354">
        <v>4.4698000000000003E-4</v>
      </c>
    </row>
    <row r="3355" spans="1:2" x14ac:dyDescent="0.25">
      <c r="A3355" s="6">
        <v>40679</v>
      </c>
      <c r="B3355">
        <v>4.4698000000000003E-4</v>
      </c>
    </row>
    <row r="3356" spans="1:2" x14ac:dyDescent="0.25">
      <c r="A3356" s="6">
        <v>40680</v>
      </c>
      <c r="B3356">
        <v>4.4698000000000003E-4</v>
      </c>
    </row>
    <row r="3357" spans="1:2" x14ac:dyDescent="0.25">
      <c r="A3357" s="6">
        <v>40681</v>
      </c>
      <c r="B3357">
        <v>4.4698000000000003E-4</v>
      </c>
    </row>
    <row r="3358" spans="1:2" x14ac:dyDescent="0.25">
      <c r="A3358" s="6">
        <v>40682</v>
      </c>
      <c r="B3358">
        <v>4.4698000000000003E-4</v>
      </c>
    </row>
    <row r="3359" spans="1:2" x14ac:dyDescent="0.25">
      <c r="A3359" s="6">
        <v>40683</v>
      </c>
      <c r="B3359">
        <v>4.4698000000000003E-4</v>
      </c>
    </row>
    <row r="3360" spans="1:2" x14ac:dyDescent="0.25">
      <c r="A3360" s="6">
        <v>40686</v>
      </c>
      <c r="B3360">
        <v>4.4698000000000003E-4</v>
      </c>
    </row>
    <row r="3361" spans="1:2" x14ac:dyDescent="0.25">
      <c r="A3361" s="6">
        <v>40687</v>
      </c>
      <c r="B3361">
        <v>4.4698000000000003E-4</v>
      </c>
    </row>
    <row r="3362" spans="1:2" x14ac:dyDescent="0.25">
      <c r="A3362" s="6">
        <v>40688</v>
      </c>
      <c r="B3362">
        <v>4.4698000000000003E-4</v>
      </c>
    </row>
    <row r="3363" spans="1:2" x14ac:dyDescent="0.25">
      <c r="A3363" s="6">
        <v>40689</v>
      </c>
      <c r="B3363">
        <v>4.4698000000000003E-4</v>
      </c>
    </row>
    <row r="3364" spans="1:2" x14ac:dyDescent="0.25">
      <c r="A3364" s="6">
        <v>40690</v>
      </c>
      <c r="B3364">
        <v>4.4698000000000003E-4</v>
      </c>
    </row>
    <row r="3365" spans="1:2" x14ac:dyDescent="0.25">
      <c r="A3365" s="6">
        <v>40693</v>
      </c>
      <c r="B3365">
        <v>4.4698000000000003E-4</v>
      </c>
    </row>
    <row r="3366" spans="1:2" x14ac:dyDescent="0.25">
      <c r="A3366" s="6">
        <v>40694</v>
      </c>
      <c r="B3366">
        <v>4.4698000000000003E-4</v>
      </c>
    </row>
    <row r="3367" spans="1:2" x14ac:dyDescent="0.25">
      <c r="A3367" s="6">
        <v>40695</v>
      </c>
      <c r="B3367">
        <v>4.4698000000000003E-4</v>
      </c>
    </row>
    <row r="3368" spans="1:2" x14ac:dyDescent="0.25">
      <c r="A3368" s="6">
        <v>40696</v>
      </c>
      <c r="B3368">
        <v>4.4698000000000003E-4</v>
      </c>
    </row>
    <row r="3369" spans="1:2" x14ac:dyDescent="0.25">
      <c r="A3369" s="6">
        <v>40697</v>
      </c>
      <c r="B3369">
        <v>4.4698000000000003E-4</v>
      </c>
    </row>
    <row r="3370" spans="1:2" x14ac:dyDescent="0.25">
      <c r="A3370" s="6">
        <v>40700</v>
      </c>
      <c r="B3370">
        <v>4.4698000000000003E-4</v>
      </c>
    </row>
    <row r="3371" spans="1:2" x14ac:dyDescent="0.25">
      <c r="A3371" s="6">
        <v>40701</v>
      </c>
      <c r="B3371">
        <v>4.4698000000000003E-4</v>
      </c>
    </row>
    <row r="3372" spans="1:2" x14ac:dyDescent="0.25">
      <c r="A3372" s="6">
        <v>40702</v>
      </c>
      <c r="B3372">
        <v>4.4698000000000003E-4</v>
      </c>
    </row>
    <row r="3373" spans="1:2" x14ac:dyDescent="0.25">
      <c r="A3373" s="6">
        <v>40703</v>
      </c>
      <c r="B3373">
        <v>4.5584E-4</v>
      </c>
    </row>
    <row r="3374" spans="1:2" x14ac:dyDescent="0.25">
      <c r="A3374" s="6">
        <v>40704</v>
      </c>
      <c r="B3374">
        <v>4.5584E-4</v>
      </c>
    </row>
    <row r="3375" spans="1:2" x14ac:dyDescent="0.25">
      <c r="A3375" s="6">
        <v>40707</v>
      </c>
      <c r="B3375">
        <v>4.5584E-4</v>
      </c>
    </row>
    <row r="3376" spans="1:2" x14ac:dyDescent="0.25">
      <c r="A3376" s="6">
        <v>40708</v>
      </c>
      <c r="B3376">
        <v>4.5584E-4</v>
      </c>
    </row>
    <row r="3377" spans="1:2" x14ac:dyDescent="0.25">
      <c r="A3377" s="6">
        <v>40709</v>
      </c>
      <c r="B3377">
        <v>4.5584E-4</v>
      </c>
    </row>
    <row r="3378" spans="1:2" x14ac:dyDescent="0.25">
      <c r="A3378" s="6">
        <v>40710</v>
      </c>
      <c r="B3378">
        <v>4.5584E-4</v>
      </c>
    </row>
    <row r="3379" spans="1:2" x14ac:dyDescent="0.25">
      <c r="A3379" s="6">
        <v>40711</v>
      </c>
      <c r="B3379">
        <v>4.5584E-4</v>
      </c>
    </row>
    <row r="3380" spans="1:2" x14ac:dyDescent="0.25">
      <c r="A3380" s="6">
        <v>40714</v>
      </c>
      <c r="B3380">
        <v>4.5584E-4</v>
      </c>
    </row>
    <row r="3381" spans="1:2" x14ac:dyDescent="0.25">
      <c r="A3381" s="6">
        <v>40715</v>
      </c>
      <c r="B3381">
        <v>4.5584E-4</v>
      </c>
    </row>
    <row r="3382" spans="1:2" x14ac:dyDescent="0.25">
      <c r="A3382" s="6">
        <v>40716</v>
      </c>
      <c r="B3382">
        <v>4.5584E-4</v>
      </c>
    </row>
    <row r="3383" spans="1:2" x14ac:dyDescent="0.25">
      <c r="A3383" s="6">
        <v>40718</v>
      </c>
      <c r="B3383">
        <v>4.5584E-4</v>
      </c>
    </row>
    <row r="3384" spans="1:2" x14ac:dyDescent="0.25">
      <c r="A3384" s="6">
        <v>40721</v>
      </c>
      <c r="B3384">
        <v>4.5584E-4</v>
      </c>
    </row>
    <row r="3385" spans="1:2" x14ac:dyDescent="0.25">
      <c r="A3385" s="6">
        <v>40722</v>
      </c>
      <c r="B3385">
        <v>4.5584E-4</v>
      </c>
    </row>
    <row r="3386" spans="1:2" x14ac:dyDescent="0.25">
      <c r="A3386" s="6">
        <v>40723</v>
      </c>
      <c r="B3386">
        <v>4.5584E-4</v>
      </c>
    </row>
    <row r="3387" spans="1:2" x14ac:dyDescent="0.25">
      <c r="A3387" s="6">
        <v>40724</v>
      </c>
      <c r="B3387">
        <v>4.5584E-4</v>
      </c>
    </row>
    <row r="3388" spans="1:2" x14ac:dyDescent="0.25">
      <c r="A3388" s="6">
        <v>40725</v>
      </c>
      <c r="B3388">
        <v>4.5584E-4</v>
      </c>
    </row>
    <row r="3389" spans="1:2" x14ac:dyDescent="0.25">
      <c r="A3389" s="6">
        <v>40728</v>
      </c>
      <c r="B3389">
        <v>4.5584E-4</v>
      </c>
    </row>
    <row r="3390" spans="1:2" x14ac:dyDescent="0.25">
      <c r="A3390" s="6">
        <v>40729</v>
      </c>
      <c r="B3390">
        <v>4.5584E-4</v>
      </c>
    </row>
    <row r="3391" spans="1:2" x14ac:dyDescent="0.25">
      <c r="A3391" s="6">
        <v>40730</v>
      </c>
      <c r="B3391">
        <v>4.5584E-4</v>
      </c>
    </row>
    <row r="3392" spans="1:2" x14ac:dyDescent="0.25">
      <c r="A3392" s="6">
        <v>40731</v>
      </c>
      <c r="B3392">
        <v>4.5584E-4</v>
      </c>
    </row>
    <row r="3393" spans="1:2" x14ac:dyDescent="0.25">
      <c r="A3393" s="6">
        <v>40732</v>
      </c>
      <c r="B3393">
        <v>4.5584E-4</v>
      </c>
    </row>
    <row r="3394" spans="1:2" x14ac:dyDescent="0.25">
      <c r="A3394" s="6">
        <v>40735</v>
      </c>
      <c r="B3394">
        <v>4.5584E-4</v>
      </c>
    </row>
    <row r="3395" spans="1:2" x14ac:dyDescent="0.25">
      <c r="A3395" s="6">
        <v>40736</v>
      </c>
      <c r="B3395">
        <v>4.5584E-4</v>
      </c>
    </row>
    <row r="3396" spans="1:2" x14ac:dyDescent="0.25">
      <c r="A3396" s="6">
        <v>40737</v>
      </c>
      <c r="B3396">
        <v>4.5584E-4</v>
      </c>
    </row>
    <row r="3397" spans="1:2" x14ac:dyDescent="0.25">
      <c r="A3397" s="6">
        <v>40738</v>
      </c>
      <c r="B3397">
        <v>4.5584E-4</v>
      </c>
    </row>
    <row r="3398" spans="1:2" x14ac:dyDescent="0.25">
      <c r="A3398" s="6">
        <v>40739</v>
      </c>
      <c r="B3398">
        <v>4.5584E-4</v>
      </c>
    </row>
    <row r="3399" spans="1:2" x14ac:dyDescent="0.25">
      <c r="A3399" s="6">
        <v>40742</v>
      </c>
      <c r="B3399">
        <v>4.5584E-4</v>
      </c>
    </row>
    <row r="3400" spans="1:2" x14ac:dyDescent="0.25">
      <c r="A3400" s="6">
        <v>40743</v>
      </c>
      <c r="B3400">
        <v>4.5584E-4</v>
      </c>
    </row>
    <row r="3401" spans="1:2" x14ac:dyDescent="0.25">
      <c r="A3401" s="6">
        <v>40744</v>
      </c>
      <c r="B3401">
        <v>4.5584E-4</v>
      </c>
    </row>
    <row r="3402" spans="1:2" x14ac:dyDescent="0.25">
      <c r="A3402" s="6">
        <v>40745</v>
      </c>
      <c r="B3402">
        <v>4.6468000000000003E-4</v>
      </c>
    </row>
    <row r="3403" spans="1:2" x14ac:dyDescent="0.25">
      <c r="A3403" s="6">
        <v>40746</v>
      </c>
      <c r="B3403">
        <v>4.6468000000000003E-4</v>
      </c>
    </row>
    <row r="3404" spans="1:2" x14ac:dyDescent="0.25">
      <c r="A3404" s="6">
        <v>40749</v>
      </c>
      <c r="B3404">
        <v>4.6468000000000003E-4</v>
      </c>
    </row>
    <row r="3405" spans="1:2" x14ac:dyDescent="0.25">
      <c r="A3405" s="6">
        <v>40750</v>
      </c>
      <c r="B3405">
        <v>4.6468000000000003E-4</v>
      </c>
    </row>
    <row r="3406" spans="1:2" x14ac:dyDescent="0.25">
      <c r="A3406" s="6">
        <v>40751</v>
      </c>
      <c r="B3406">
        <v>4.6468000000000003E-4</v>
      </c>
    </row>
    <row r="3407" spans="1:2" x14ac:dyDescent="0.25">
      <c r="A3407" s="6">
        <v>40752</v>
      </c>
      <c r="B3407">
        <v>4.6468000000000003E-4</v>
      </c>
    </row>
    <row r="3408" spans="1:2" x14ac:dyDescent="0.25">
      <c r="A3408" s="6">
        <v>40753</v>
      </c>
      <c r="B3408">
        <v>4.6468000000000003E-4</v>
      </c>
    </row>
    <row r="3409" spans="1:2" x14ac:dyDescent="0.25">
      <c r="A3409" s="6">
        <v>40756</v>
      </c>
      <c r="B3409">
        <v>4.6468000000000003E-4</v>
      </c>
    </row>
    <row r="3410" spans="1:2" x14ac:dyDescent="0.25">
      <c r="A3410" s="6">
        <v>40757</v>
      </c>
      <c r="B3410">
        <v>4.6468000000000003E-4</v>
      </c>
    </row>
    <row r="3411" spans="1:2" x14ac:dyDescent="0.25">
      <c r="A3411" s="6">
        <v>40758</v>
      </c>
      <c r="B3411">
        <v>4.6468000000000003E-4</v>
      </c>
    </row>
    <row r="3412" spans="1:2" x14ac:dyDescent="0.25">
      <c r="A3412" s="6">
        <v>40759</v>
      </c>
      <c r="B3412">
        <v>4.6468000000000003E-4</v>
      </c>
    </row>
    <row r="3413" spans="1:2" x14ac:dyDescent="0.25">
      <c r="A3413" s="6">
        <v>40760</v>
      </c>
      <c r="B3413">
        <v>4.6468000000000003E-4</v>
      </c>
    </row>
    <row r="3414" spans="1:2" x14ac:dyDescent="0.25">
      <c r="A3414" s="6">
        <v>40763</v>
      </c>
      <c r="B3414">
        <v>4.6468000000000003E-4</v>
      </c>
    </row>
    <row r="3415" spans="1:2" x14ac:dyDescent="0.25">
      <c r="A3415" s="6">
        <v>40764</v>
      </c>
      <c r="B3415">
        <v>4.6468000000000003E-4</v>
      </c>
    </row>
    <row r="3416" spans="1:2" x14ac:dyDescent="0.25">
      <c r="A3416" s="6">
        <v>40765</v>
      </c>
      <c r="B3416">
        <v>4.6468000000000003E-4</v>
      </c>
    </row>
    <row r="3417" spans="1:2" x14ac:dyDescent="0.25">
      <c r="A3417" s="6">
        <v>40766</v>
      </c>
      <c r="B3417">
        <v>4.6468000000000003E-4</v>
      </c>
    </row>
    <row r="3418" spans="1:2" x14ac:dyDescent="0.25">
      <c r="A3418" s="6">
        <v>40767</v>
      </c>
      <c r="B3418">
        <v>4.6468000000000003E-4</v>
      </c>
    </row>
    <row r="3419" spans="1:2" x14ac:dyDescent="0.25">
      <c r="A3419" s="6">
        <v>40770</v>
      </c>
      <c r="B3419">
        <v>4.6468000000000003E-4</v>
      </c>
    </row>
    <row r="3420" spans="1:2" x14ac:dyDescent="0.25">
      <c r="A3420" s="6">
        <v>40771</v>
      </c>
      <c r="B3420">
        <v>4.6468000000000003E-4</v>
      </c>
    </row>
    <row r="3421" spans="1:2" x14ac:dyDescent="0.25">
      <c r="A3421" s="6">
        <v>40772</v>
      </c>
      <c r="B3421">
        <v>4.6468000000000003E-4</v>
      </c>
    </row>
    <row r="3422" spans="1:2" x14ac:dyDescent="0.25">
      <c r="A3422" s="6">
        <v>40773</v>
      </c>
      <c r="B3422">
        <v>4.6468000000000003E-4</v>
      </c>
    </row>
    <row r="3423" spans="1:2" x14ac:dyDescent="0.25">
      <c r="A3423" s="6">
        <v>40774</v>
      </c>
      <c r="B3423">
        <v>4.6468000000000003E-4</v>
      </c>
    </row>
    <row r="3424" spans="1:2" x14ac:dyDescent="0.25">
      <c r="A3424" s="6">
        <v>40777</v>
      </c>
      <c r="B3424">
        <v>4.6468000000000003E-4</v>
      </c>
    </row>
    <row r="3425" spans="1:2" x14ac:dyDescent="0.25">
      <c r="A3425" s="6">
        <v>40778</v>
      </c>
      <c r="B3425">
        <v>4.6468000000000003E-4</v>
      </c>
    </row>
    <row r="3426" spans="1:2" x14ac:dyDescent="0.25">
      <c r="A3426" s="6">
        <v>40779</v>
      </c>
      <c r="B3426">
        <v>4.6468000000000003E-4</v>
      </c>
    </row>
    <row r="3427" spans="1:2" x14ac:dyDescent="0.25">
      <c r="A3427" s="6">
        <v>40780</v>
      </c>
      <c r="B3427">
        <v>4.6432E-4</v>
      </c>
    </row>
    <row r="3428" spans="1:2" x14ac:dyDescent="0.25">
      <c r="A3428" s="6">
        <v>40781</v>
      </c>
      <c r="B3428">
        <v>4.6432E-4</v>
      </c>
    </row>
    <row r="3429" spans="1:2" x14ac:dyDescent="0.25">
      <c r="A3429" s="6">
        <v>40784</v>
      </c>
      <c r="B3429">
        <v>4.6432E-4</v>
      </c>
    </row>
    <row r="3430" spans="1:2" x14ac:dyDescent="0.25">
      <c r="A3430" s="6">
        <v>40785</v>
      </c>
      <c r="B3430">
        <v>4.6432E-4</v>
      </c>
    </row>
    <row r="3431" spans="1:2" x14ac:dyDescent="0.25">
      <c r="A3431" s="6">
        <v>40786</v>
      </c>
      <c r="B3431">
        <v>4.6432E-4</v>
      </c>
    </row>
    <row r="3432" spans="1:2" x14ac:dyDescent="0.25">
      <c r="A3432" s="6">
        <v>40787</v>
      </c>
      <c r="B3432">
        <v>4.4663E-4</v>
      </c>
    </row>
    <row r="3433" spans="1:2" x14ac:dyDescent="0.25">
      <c r="A3433" s="6">
        <v>40788</v>
      </c>
      <c r="B3433">
        <v>4.4663E-4</v>
      </c>
    </row>
    <row r="3434" spans="1:2" x14ac:dyDescent="0.25">
      <c r="A3434" s="6">
        <v>40791</v>
      </c>
      <c r="B3434">
        <v>4.4663E-4</v>
      </c>
    </row>
    <row r="3435" spans="1:2" x14ac:dyDescent="0.25">
      <c r="A3435" s="6">
        <v>40792</v>
      </c>
      <c r="B3435">
        <v>4.4663E-4</v>
      </c>
    </row>
    <row r="3436" spans="1:2" x14ac:dyDescent="0.25">
      <c r="A3436" s="6">
        <v>40794</v>
      </c>
      <c r="B3436">
        <v>4.4663E-4</v>
      </c>
    </row>
    <row r="3437" spans="1:2" x14ac:dyDescent="0.25">
      <c r="A3437" s="6">
        <v>40795</v>
      </c>
      <c r="B3437">
        <v>4.4663E-4</v>
      </c>
    </row>
    <row r="3438" spans="1:2" x14ac:dyDescent="0.25">
      <c r="A3438" s="6">
        <v>40798</v>
      </c>
      <c r="B3438">
        <v>4.4663E-4</v>
      </c>
    </row>
    <row r="3439" spans="1:2" x14ac:dyDescent="0.25">
      <c r="A3439" s="6">
        <v>40799</v>
      </c>
      <c r="B3439">
        <v>4.4663E-4</v>
      </c>
    </row>
    <row r="3440" spans="1:2" x14ac:dyDescent="0.25">
      <c r="A3440" s="6">
        <v>40800</v>
      </c>
      <c r="B3440">
        <v>4.4663E-4</v>
      </c>
    </row>
    <row r="3441" spans="1:2" x14ac:dyDescent="0.25">
      <c r="A3441" s="6">
        <v>40801</v>
      </c>
      <c r="B3441">
        <v>4.4663E-4</v>
      </c>
    </row>
    <row r="3442" spans="1:2" x14ac:dyDescent="0.25">
      <c r="A3442" s="6">
        <v>40802</v>
      </c>
      <c r="B3442">
        <v>4.4663E-4</v>
      </c>
    </row>
    <row r="3443" spans="1:2" x14ac:dyDescent="0.25">
      <c r="A3443" s="6">
        <v>40805</v>
      </c>
      <c r="B3443">
        <v>4.4627000000000002E-4</v>
      </c>
    </row>
    <row r="3444" spans="1:2" x14ac:dyDescent="0.25">
      <c r="A3444" s="6">
        <v>40806</v>
      </c>
      <c r="B3444">
        <v>4.4627000000000002E-4</v>
      </c>
    </row>
    <row r="3445" spans="1:2" x14ac:dyDescent="0.25">
      <c r="A3445" s="6">
        <v>40807</v>
      </c>
      <c r="B3445">
        <v>4.4627000000000002E-4</v>
      </c>
    </row>
    <row r="3446" spans="1:2" x14ac:dyDescent="0.25">
      <c r="A3446" s="6">
        <v>40808</v>
      </c>
      <c r="B3446">
        <v>4.4627000000000002E-4</v>
      </c>
    </row>
    <row r="3447" spans="1:2" x14ac:dyDescent="0.25">
      <c r="A3447" s="6">
        <v>40809</v>
      </c>
      <c r="B3447">
        <v>4.4627000000000002E-4</v>
      </c>
    </row>
    <row r="3448" spans="1:2" x14ac:dyDescent="0.25">
      <c r="A3448" s="6">
        <v>40812</v>
      </c>
      <c r="B3448">
        <v>4.4627000000000002E-4</v>
      </c>
    </row>
    <row r="3449" spans="1:2" x14ac:dyDescent="0.25">
      <c r="A3449" s="6">
        <v>40813</v>
      </c>
      <c r="B3449">
        <v>4.4627000000000002E-4</v>
      </c>
    </row>
    <row r="3450" spans="1:2" x14ac:dyDescent="0.25">
      <c r="A3450" s="6">
        <v>40814</v>
      </c>
      <c r="B3450">
        <v>4.4627000000000002E-4</v>
      </c>
    </row>
    <row r="3451" spans="1:2" x14ac:dyDescent="0.25">
      <c r="A3451" s="6">
        <v>40815</v>
      </c>
      <c r="B3451">
        <v>4.4627000000000002E-4</v>
      </c>
    </row>
    <row r="3452" spans="1:2" x14ac:dyDescent="0.25">
      <c r="A3452" s="6">
        <v>40816</v>
      </c>
      <c r="B3452">
        <v>4.4627000000000002E-4</v>
      </c>
    </row>
    <row r="3453" spans="1:2" x14ac:dyDescent="0.25">
      <c r="A3453" s="6">
        <v>40819</v>
      </c>
      <c r="B3453">
        <v>4.4627000000000002E-4</v>
      </c>
    </row>
    <row r="3454" spans="1:2" x14ac:dyDescent="0.25">
      <c r="A3454" s="6">
        <v>40820</v>
      </c>
      <c r="B3454">
        <v>4.4627000000000002E-4</v>
      </c>
    </row>
    <row r="3455" spans="1:2" x14ac:dyDescent="0.25">
      <c r="A3455" s="6">
        <v>40821</v>
      </c>
      <c r="B3455">
        <v>4.4627000000000002E-4</v>
      </c>
    </row>
    <row r="3456" spans="1:2" x14ac:dyDescent="0.25">
      <c r="A3456" s="6">
        <v>40822</v>
      </c>
      <c r="B3456">
        <v>4.4627000000000002E-4</v>
      </c>
    </row>
    <row r="3457" spans="1:2" x14ac:dyDescent="0.25">
      <c r="A3457" s="6">
        <v>40823</v>
      </c>
      <c r="B3457">
        <v>4.4627000000000002E-4</v>
      </c>
    </row>
    <row r="3458" spans="1:2" x14ac:dyDescent="0.25">
      <c r="A3458" s="6">
        <v>40826</v>
      </c>
      <c r="B3458">
        <v>4.4627000000000002E-4</v>
      </c>
    </row>
    <row r="3459" spans="1:2" x14ac:dyDescent="0.25">
      <c r="A3459" s="6">
        <v>40827</v>
      </c>
      <c r="B3459">
        <v>4.4627000000000002E-4</v>
      </c>
    </row>
    <row r="3460" spans="1:2" x14ac:dyDescent="0.25">
      <c r="A3460" s="6">
        <v>40829</v>
      </c>
      <c r="B3460">
        <v>4.4627000000000002E-4</v>
      </c>
    </row>
    <row r="3461" spans="1:2" x14ac:dyDescent="0.25">
      <c r="A3461" s="6">
        <v>40830</v>
      </c>
      <c r="B3461">
        <v>4.4627000000000002E-4</v>
      </c>
    </row>
    <row r="3462" spans="1:2" x14ac:dyDescent="0.25">
      <c r="A3462" s="6">
        <v>40833</v>
      </c>
      <c r="B3462">
        <v>4.4627000000000002E-4</v>
      </c>
    </row>
    <row r="3463" spans="1:2" x14ac:dyDescent="0.25">
      <c r="A3463" s="6">
        <v>40834</v>
      </c>
      <c r="B3463">
        <v>4.4627000000000002E-4</v>
      </c>
    </row>
    <row r="3464" spans="1:2" x14ac:dyDescent="0.25">
      <c r="A3464" s="6">
        <v>40835</v>
      </c>
      <c r="B3464">
        <v>4.4591999999999999E-4</v>
      </c>
    </row>
    <row r="3465" spans="1:2" x14ac:dyDescent="0.25">
      <c r="A3465" s="6">
        <v>40836</v>
      </c>
      <c r="B3465">
        <v>4.2848999999999996E-4</v>
      </c>
    </row>
    <row r="3466" spans="1:2" x14ac:dyDescent="0.25">
      <c r="A3466" s="6">
        <v>40837</v>
      </c>
      <c r="B3466">
        <v>4.2848999999999996E-4</v>
      </c>
    </row>
    <row r="3467" spans="1:2" x14ac:dyDescent="0.25">
      <c r="A3467" s="6">
        <v>40840</v>
      </c>
      <c r="B3467">
        <v>4.2848999999999996E-4</v>
      </c>
    </row>
    <row r="3468" spans="1:2" x14ac:dyDescent="0.25">
      <c r="A3468" s="6">
        <v>40841</v>
      </c>
      <c r="B3468">
        <v>4.2848999999999996E-4</v>
      </c>
    </row>
    <row r="3469" spans="1:2" x14ac:dyDescent="0.25">
      <c r="A3469" s="6">
        <v>40842</v>
      </c>
      <c r="B3469">
        <v>4.2848999999999996E-4</v>
      </c>
    </row>
    <row r="3470" spans="1:2" x14ac:dyDescent="0.25">
      <c r="A3470" s="6">
        <v>40843</v>
      </c>
      <c r="B3470">
        <v>4.2848999999999996E-4</v>
      </c>
    </row>
    <row r="3471" spans="1:2" x14ac:dyDescent="0.25">
      <c r="A3471" s="6">
        <v>40844</v>
      </c>
      <c r="B3471">
        <v>4.2848999999999996E-4</v>
      </c>
    </row>
    <row r="3472" spans="1:2" x14ac:dyDescent="0.25">
      <c r="A3472" s="6">
        <v>40847</v>
      </c>
      <c r="B3472">
        <v>4.2848999999999996E-4</v>
      </c>
    </row>
    <row r="3473" spans="1:2" x14ac:dyDescent="0.25">
      <c r="A3473" s="6">
        <v>40848</v>
      </c>
      <c r="B3473">
        <v>4.2848999999999996E-4</v>
      </c>
    </row>
    <row r="3474" spans="1:2" x14ac:dyDescent="0.25">
      <c r="A3474" s="6">
        <v>40850</v>
      </c>
      <c r="B3474">
        <v>4.2848999999999996E-4</v>
      </c>
    </row>
    <row r="3475" spans="1:2" x14ac:dyDescent="0.25">
      <c r="A3475" s="6">
        <v>40851</v>
      </c>
      <c r="B3475">
        <v>4.2848999999999996E-4</v>
      </c>
    </row>
    <row r="3476" spans="1:2" x14ac:dyDescent="0.25">
      <c r="A3476" s="6">
        <v>40854</v>
      </c>
      <c r="B3476">
        <v>4.2848999999999996E-4</v>
      </c>
    </row>
    <row r="3477" spans="1:2" x14ac:dyDescent="0.25">
      <c r="A3477" s="6">
        <v>40855</v>
      </c>
      <c r="B3477">
        <v>4.2848999999999996E-4</v>
      </c>
    </row>
    <row r="3478" spans="1:2" x14ac:dyDescent="0.25">
      <c r="A3478" s="6">
        <v>40856</v>
      </c>
      <c r="B3478">
        <v>4.2848999999999996E-4</v>
      </c>
    </row>
    <row r="3479" spans="1:2" x14ac:dyDescent="0.25">
      <c r="A3479" s="6">
        <v>40857</v>
      </c>
      <c r="B3479">
        <v>4.2848999999999996E-4</v>
      </c>
    </row>
    <row r="3480" spans="1:2" x14ac:dyDescent="0.25">
      <c r="A3480" s="6">
        <v>40858</v>
      </c>
      <c r="B3480">
        <v>4.2848999999999996E-4</v>
      </c>
    </row>
    <row r="3481" spans="1:2" x14ac:dyDescent="0.25">
      <c r="A3481" s="6">
        <v>40861</v>
      </c>
      <c r="B3481">
        <v>4.2848999999999996E-4</v>
      </c>
    </row>
    <row r="3482" spans="1:2" x14ac:dyDescent="0.25">
      <c r="A3482" s="6">
        <v>40863</v>
      </c>
      <c r="B3482">
        <v>4.2848999999999996E-4</v>
      </c>
    </row>
    <row r="3483" spans="1:2" x14ac:dyDescent="0.25">
      <c r="A3483" s="6">
        <v>40864</v>
      </c>
      <c r="B3483">
        <v>4.2848999999999996E-4</v>
      </c>
    </row>
    <row r="3484" spans="1:2" x14ac:dyDescent="0.25">
      <c r="A3484" s="6">
        <v>40865</v>
      </c>
      <c r="B3484">
        <v>4.2848999999999996E-4</v>
      </c>
    </row>
    <row r="3485" spans="1:2" x14ac:dyDescent="0.25">
      <c r="A3485" s="6">
        <v>40868</v>
      </c>
      <c r="B3485">
        <v>4.2848999999999996E-4</v>
      </c>
    </row>
    <row r="3486" spans="1:2" x14ac:dyDescent="0.25">
      <c r="A3486" s="6">
        <v>40869</v>
      </c>
      <c r="B3486">
        <v>4.2848999999999996E-4</v>
      </c>
    </row>
    <row r="3487" spans="1:2" x14ac:dyDescent="0.25">
      <c r="A3487" s="6">
        <v>40870</v>
      </c>
      <c r="B3487">
        <v>4.2848999999999996E-4</v>
      </c>
    </row>
    <row r="3488" spans="1:2" x14ac:dyDescent="0.25">
      <c r="A3488" s="6">
        <v>40871</v>
      </c>
      <c r="B3488">
        <v>4.2848999999999996E-4</v>
      </c>
    </row>
    <row r="3489" spans="1:2" x14ac:dyDescent="0.25">
      <c r="A3489" s="6">
        <v>40872</v>
      </c>
      <c r="B3489">
        <v>4.2848999999999996E-4</v>
      </c>
    </row>
    <row r="3490" spans="1:2" x14ac:dyDescent="0.25">
      <c r="A3490" s="6">
        <v>40875</v>
      </c>
      <c r="B3490">
        <v>4.2848999999999996E-4</v>
      </c>
    </row>
    <row r="3491" spans="1:2" x14ac:dyDescent="0.25">
      <c r="A3491" s="6">
        <v>40876</v>
      </c>
      <c r="B3491">
        <v>4.2848999999999996E-4</v>
      </c>
    </row>
    <row r="3492" spans="1:2" x14ac:dyDescent="0.25">
      <c r="A3492" s="6">
        <v>40877</v>
      </c>
      <c r="B3492">
        <v>4.2848999999999996E-4</v>
      </c>
    </row>
    <row r="3493" spans="1:2" x14ac:dyDescent="0.25">
      <c r="A3493" s="6">
        <v>40878</v>
      </c>
      <c r="B3493">
        <v>4.1063000000000004E-4</v>
      </c>
    </row>
    <row r="3494" spans="1:2" x14ac:dyDescent="0.25">
      <c r="A3494" s="6">
        <v>40879</v>
      </c>
      <c r="B3494">
        <v>4.1063000000000004E-4</v>
      </c>
    </row>
    <row r="3495" spans="1:2" x14ac:dyDescent="0.25">
      <c r="A3495" s="6">
        <v>40882</v>
      </c>
      <c r="B3495">
        <v>4.1063000000000004E-4</v>
      </c>
    </row>
    <row r="3496" spans="1:2" x14ac:dyDescent="0.25">
      <c r="A3496" s="6">
        <v>40883</v>
      </c>
      <c r="B3496">
        <v>4.1063000000000004E-4</v>
      </c>
    </row>
    <row r="3497" spans="1:2" x14ac:dyDescent="0.25">
      <c r="A3497" s="6">
        <v>40884</v>
      </c>
      <c r="B3497">
        <v>4.1063000000000004E-4</v>
      </c>
    </row>
    <row r="3498" spans="1:2" x14ac:dyDescent="0.25">
      <c r="A3498" s="6">
        <v>40885</v>
      </c>
      <c r="B3498">
        <v>4.1063000000000004E-4</v>
      </c>
    </row>
    <row r="3499" spans="1:2" x14ac:dyDescent="0.25">
      <c r="A3499" s="6">
        <v>40886</v>
      </c>
      <c r="B3499">
        <v>4.1063000000000004E-4</v>
      </c>
    </row>
    <row r="3500" spans="1:2" x14ac:dyDescent="0.25">
      <c r="A3500" s="6">
        <v>40889</v>
      </c>
      <c r="B3500">
        <v>4.1063000000000004E-4</v>
      </c>
    </row>
    <row r="3501" spans="1:2" x14ac:dyDescent="0.25">
      <c r="A3501" s="6">
        <v>40890</v>
      </c>
      <c r="B3501">
        <v>4.1063000000000004E-4</v>
      </c>
    </row>
    <row r="3502" spans="1:2" x14ac:dyDescent="0.25">
      <c r="A3502" s="6">
        <v>40891</v>
      </c>
      <c r="B3502">
        <v>4.1063000000000004E-4</v>
      </c>
    </row>
    <row r="3503" spans="1:2" x14ac:dyDescent="0.25">
      <c r="A3503" s="6">
        <v>40892</v>
      </c>
      <c r="B3503">
        <v>4.1063000000000004E-4</v>
      </c>
    </row>
    <row r="3504" spans="1:2" x14ac:dyDescent="0.25">
      <c r="A3504" s="6">
        <v>40893</v>
      </c>
      <c r="B3504">
        <v>4.1063000000000004E-4</v>
      </c>
    </row>
    <row r="3505" spans="1:2" x14ac:dyDescent="0.25">
      <c r="A3505" s="6">
        <v>40896</v>
      </c>
      <c r="B3505">
        <v>4.1063000000000004E-4</v>
      </c>
    </row>
    <row r="3506" spans="1:2" x14ac:dyDescent="0.25">
      <c r="A3506" s="6">
        <v>40897</v>
      </c>
      <c r="B3506">
        <v>4.1063000000000004E-4</v>
      </c>
    </row>
    <row r="3507" spans="1:2" x14ac:dyDescent="0.25">
      <c r="A3507" s="6">
        <v>40898</v>
      </c>
      <c r="B3507">
        <v>4.1063000000000004E-4</v>
      </c>
    </row>
    <row r="3508" spans="1:2" x14ac:dyDescent="0.25">
      <c r="A3508" s="6">
        <v>40899</v>
      </c>
      <c r="B3508">
        <v>4.1063000000000004E-4</v>
      </c>
    </row>
    <row r="3509" spans="1:2" x14ac:dyDescent="0.25">
      <c r="A3509" s="6">
        <v>40900</v>
      </c>
      <c r="B3509">
        <v>4.1063000000000004E-4</v>
      </c>
    </row>
    <row r="3510" spans="1:2" x14ac:dyDescent="0.25">
      <c r="A3510" s="6">
        <v>40903</v>
      </c>
      <c r="B3510">
        <v>4.1063000000000004E-4</v>
      </c>
    </row>
    <row r="3511" spans="1:2" x14ac:dyDescent="0.25">
      <c r="A3511" s="6">
        <v>40904</v>
      </c>
      <c r="B3511">
        <v>4.1063000000000004E-4</v>
      </c>
    </row>
    <row r="3512" spans="1:2" x14ac:dyDescent="0.25">
      <c r="A3512" s="6">
        <v>40905</v>
      </c>
      <c r="B3512">
        <v>4.1063000000000004E-4</v>
      </c>
    </row>
    <row r="3513" spans="1:2" x14ac:dyDescent="0.25">
      <c r="A3513" s="6">
        <v>40906</v>
      </c>
      <c r="B3513">
        <v>4.1063000000000004E-4</v>
      </c>
    </row>
    <row r="3514" spans="1:2" x14ac:dyDescent="0.25">
      <c r="A3514" s="6">
        <v>40907</v>
      </c>
      <c r="B3514">
        <v>4.1098999999999997E-4</v>
      </c>
    </row>
    <row r="3515" spans="1:2" x14ac:dyDescent="0.25">
      <c r="A3515" s="6">
        <v>40910</v>
      </c>
      <c r="B3515">
        <v>4.1063000000000004E-4</v>
      </c>
    </row>
    <row r="3516" spans="1:2" x14ac:dyDescent="0.25">
      <c r="A3516" s="6">
        <v>40911</v>
      </c>
      <c r="B3516">
        <v>4.1063000000000004E-4</v>
      </c>
    </row>
    <row r="3517" spans="1:2" x14ac:dyDescent="0.25">
      <c r="A3517" s="6">
        <v>40912</v>
      </c>
      <c r="B3517">
        <v>4.1063000000000004E-4</v>
      </c>
    </row>
    <row r="3518" spans="1:2" x14ac:dyDescent="0.25">
      <c r="A3518" s="6">
        <v>40913</v>
      </c>
      <c r="B3518">
        <v>4.1063000000000004E-4</v>
      </c>
    </row>
    <row r="3519" spans="1:2" x14ac:dyDescent="0.25">
      <c r="A3519" s="6">
        <v>40914</v>
      </c>
      <c r="B3519">
        <v>4.1063000000000004E-4</v>
      </c>
    </row>
    <row r="3520" spans="1:2" x14ac:dyDescent="0.25">
      <c r="A3520" s="6">
        <v>40917</v>
      </c>
      <c r="B3520">
        <v>4.1063000000000004E-4</v>
      </c>
    </row>
    <row r="3521" spans="1:2" x14ac:dyDescent="0.25">
      <c r="A3521" s="6">
        <v>40918</v>
      </c>
      <c r="B3521">
        <v>4.1063000000000004E-4</v>
      </c>
    </row>
    <row r="3522" spans="1:2" x14ac:dyDescent="0.25">
      <c r="A3522" s="6">
        <v>40919</v>
      </c>
      <c r="B3522">
        <v>4.1063000000000004E-4</v>
      </c>
    </row>
    <row r="3523" spans="1:2" x14ac:dyDescent="0.25">
      <c r="A3523" s="6">
        <v>40920</v>
      </c>
      <c r="B3523">
        <v>4.1063000000000004E-4</v>
      </c>
    </row>
    <row r="3524" spans="1:2" x14ac:dyDescent="0.25">
      <c r="A3524" s="6">
        <v>40921</v>
      </c>
      <c r="B3524">
        <v>4.1063000000000004E-4</v>
      </c>
    </row>
    <row r="3525" spans="1:2" x14ac:dyDescent="0.25">
      <c r="A3525" s="6">
        <v>40924</v>
      </c>
      <c r="B3525">
        <v>4.1063000000000004E-4</v>
      </c>
    </row>
    <row r="3526" spans="1:2" x14ac:dyDescent="0.25">
      <c r="A3526" s="6">
        <v>40925</v>
      </c>
      <c r="B3526">
        <v>4.1063000000000004E-4</v>
      </c>
    </row>
    <row r="3527" spans="1:2" x14ac:dyDescent="0.25">
      <c r="A3527" s="6">
        <v>40926</v>
      </c>
      <c r="B3527">
        <v>4.1063000000000004E-4</v>
      </c>
    </row>
    <row r="3528" spans="1:2" x14ac:dyDescent="0.25">
      <c r="A3528" s="6">
        <v>40927</v>
      </c>
      <c r="B3528">
        <v>3.927E-4</v>
      </c>
    </row>
    <row r="3529" spans="1:2" x14ac:dyDescent="0.25">
      <c r="A3529" s="6">
        <v>40928</v>
      </c>
      <c r="B3529">
        <v>3.927E-4</v>
      </c>
    </row>
    <row r="3530" spans="1:2" x14ac:dyDescent="0.25">
      <c r="A3530" s="6">
        <v>40931</v>
      </c>
      <c r="B3530">
        <v>3.927E-4</v>
      </c>
    </row>
    <row r="3531" spans="1:2" x14ac:dyDescent="0.25">
      <c r="A3531" s="6">
        <v>40932</v>
      </c>
      <c r="B3531">
        <v>3.927E-4</v>
      </c>
    </row>
    <row r="3532" spans="1:2" x14ac:dyDescent="0.25">
      <c r="A3532" s="6">
        <v>40933</v>
      </c>
      <c r="B3532">
        <v>3.927E-4</v>
      </c>
    </row>
    <row r="3533" spans="1:2" x14ac:dyDescent="0.25">
      <c r="A3533" s="6">
        <v>40934</v>
      </c>
      <c r="B3533">
        <v>3.927E-4</v>
      </c>
    </row>
    <row r="3534" spans="1:2" x14ac:dyDescent="0.25">
      <c r="A3534" s="6">
        <v>40935</v>
      </c>
      <c r="B3534">
        <v>3.927E-4</v>
      </c>
    </row>
    <row r="3535" spans="1:2" x14ac:dyDescent="0.25">
      <c r="A3535" s="6">
        <v>40938</v>
      </c>
      <c r="B3535">
        <v>3.927E-4</v>
      </c>
    </row>
    <row r="3536" spans="1:2" x14ac:dyDescent="0.25">
      <c r="A3536" s="6">
        <v>40939</v>
      </c>
      <c r="B3536">
        <v>3.927E-4</v>
      </c>
    </row>
    <row r="3537" spans="1:2" x14ac:dyDescent="0.25">
      <c r="A3537" s="6">
        <v>40940</v>
      </c>
      <c r="B3537">
        <v>3.927E-4</v>
      </c>
    </row>
    <row r="3538" spans="1:2" x14ac:dyDescent="0.25">
      <c r="A3538" s="6">
        <v>40941</v>
      </c>
      <c r="B3538">
        <v>3.927E-4</v>
      </c>
    </row>
    <row r="3539" spans="1:2" x14ac:dyDescent="0.25">
      <c r="A3539" s="6">
        <v>40942</v>
      </c>
      <c r="B3539">
        <v>3.927E-4</v>
      </c>
    </row>
    <row r="3540" spans="1:2" x14ac:dyDescent="0.25">
      <c r="A3540" s="6">
        <v>40945</v>
      </c>
      <c r="B3540">
        <v>3.927E-4</v>
      </c>
    </row>
    <row r="3541" spans="1:2" x14ac:dyDescent="0.25">
      <c r="A3541" s="6">
        <v>40946</v>
      </c>
      <c r="B3541">
        <v>3.927E-4</v>
      </c>
    </row>
    <row r="3542" spans="1:2" x14ac:dyDescent="0.25">
      <c r="A3542" s="6">
        <v>40947</v>
      </c>
      <c r="B3542">
        <v>3.927E-4</v>
      </c>
    </row>
    <row r="3543" spans="1:2" x14ac:dyDescent="0.25">
      <c r="A3543" s="6">
        <v>40948</v>
      </c>
      <c r="B3543">
        <v>3.927E-4</v>
      </c>
    </row>
    <row r="3544" spans="1:2" x14ac:dyDescent="0.25">
      <c r="A3544" s="6">
        <v>40949</v>
      </c>
      <c r="B3544">
        <v>3.927E-4</v>
      </c>
    </row>
    <row r="3545" spans="1:2" x14ac:dyDescent="0.25">
      <c r="A3545" s="6">
        <v>40952</v>
      </c>
      <c r="B3545">
        <v>3.927E-4</v>
      </c>
    </row>
    <row r="3546" spans="1:2" x14ac:dyDescent="0.25">
      <c r="A3546" s="6">
        <v>40953</v>
      </c>
      <c r="B3546">
        <v>3.927E-4</v>
      </c>
    </row>
    <row r="3547" spans="1:2" x14ac:dyDescent="0.25">
      <c r="A3547" s="6">
        <v>40954</v>
      </c>
      <c r="B3547">
        <v>3.927E-4</v>
      </c>
    </row>
    <row r="3548" spans="1:2" x14ac:dyDescent="0.25">
      <c r="A3548" s="6">
        <v>40955</v>
      </c>
      <c r="B3548">
        <v>3.927E-4</v>
      </c>
    </row>
    <row r="3549" spans="1:2" x14ac:dyDescent="0.25">
      <c r="A3549" s="6">
        <v>40956</v>
      </c>
      <c r="B3549">
        <v>3.927E-4</v>
      </c>
    </row>
    <row r="3550" spans="1:2" x14ac:dyDescent="0.25">
      <c r="A3550" s="6">
        <v>40961</v>
      </c>
      <c r="B3550">
        <v>3.927E-4</v>
      </c>
    </row>
    <row r="3551" spans="1:2" x14ac:dyDescent="0.25">
      <c r="A3551" s="6">
        <v>40962</v>
      </c>
      <c r="B3551">
        <v>3.927E-4</v>
      </c>
    </row>
    <row r="3552" spans="1:2" x14ac:dyDescent="0.25">
      <c r="A3552" s="6">
        <v>40963</v>
      </c>
      <c r="B3552">
        <v>3.927E-4</v>
      </c>
    </row>
    <row r="3553" spans="1:2" x14ac:dyDescent="0.25">
      <c r="A3553" s="6">
        <v>40966</v>
      </c>
      <c r="B3553">
        <v>3.927E-4</v>
      </c>
    </row>
    <row r="3554" spans="1:2" x14ac:dyDescent="0.25">
      <c r="A3554" s="6">
        <v>40967</v>
      </c>
      <c r="B3554">
        <v>3.927E-4</v>
      </c>
    </row>
    <row r="3555" spans="1:2" x14ac:dyDescent="0.25">
      <c r="A3555" s="6">
        <v>40968</v>
      </c>
      <c r="B3555">
        <v>3.927E-4</v>
      </c>
    </row>
    <row r="3556" spans="1:2" x14ac:dyDescent="0.25">
      <c r="A3556" s="6">
        <v>40969</v>
      </c>
      <c r="B3556">
        <v>3.927E-4</v>
      </c>
    </row>
    <row r="3557" spans="1:2" x14ac:dyDescent="0.25">
      <c r="A3557" s="6">
        <v>40970</v>
      </c>
      <c r="B3557">
        <v>3.927E-4</v>
      </c>
    </row>
    <row r="3558" spans="1:2" x14ac:dyDescent="0.25">
      <c r="A3558" s="6">
        <v>40973</v>
      </c>
      <c r="B3558">
        <v>3.927E-4</v>
      </c>
    </row>
    <row r="3559" spans="1:2" x14ac:dyDescent="0.25">
      <c r="A3559" s="6">
        <v>40974</v>
      </c>
      <c r="B3559">
        <v>3.927E-4</v>
      </c>
    </row>
    <row r="3560" spans="1:2" x14ac:dyDescent="0.25">
      <c r="A3560" s="6">
        <v>40975</v>
      </c>
      <c r="B3560">
        <v>3.927E-4</v>
      </c>
    </row>
    <row r="3561" spans="1:2" x14ac:dyDescent="0.25">
      <c r="A3561" s="6">
        <v>40976</v>
      </c>
      <c r="B3561">
        <v>3.6563999999999998E-4</v>
      </c>
    </row>
    <row r="3562" spans="1:2" x14ac:dyDescent="0.25">
      <c r="A3562" s="6">
        <v>40977</v>
      </c>
      <c r="B3562">
        <v>3.6563999999999998E-4</v>
      </c>
    </row>
    <row r="3563" spans="1:2" x14ac:dyDescent="0.25">
      <c r="A3563" s="6">
        <v>40980</v>
      </c>
      <c r="B3563">
        <v>3.6563999999999998E-4</v>
      </c>
    </row>
    <row r="3564" spans="1:2" x14ac:dyDescent="0.25">
      <c r="A3564" s="6">
        <v>40981</v>
      </c>
      <c r="B3564">
        <v>3.6563999999999998E-4</v>
      </c>
    </row>
    <row r="3565" spans="1:2" x14ac:dyDescent="0.25">
      <c r="A3565" s="6">
        <v>40982</v>
      </c>
      <c r="B3565">
        <v>3.6563999999999998E-4</v>
      </c>
    </row>
    <row r="3566" spans="1:2" x14ac:dyDescent="0.25">
      <c r="A3566" s="6">
        <v>40983</v>
      </c>
      <c r="B3566">
        <v>3.6563999999999998E-4</v>
      </c>
    </row>
    <row r="3567" spans="1:2" x14ac:dyDescent="0.25">
      <c r="A3567" s="6">
        <v>40984</v>
      </c>
      <c r="B3567">
        <v>3.6563999999999998E-4</v>
      </c>
    </row>
    <row r="3568" spans="1:2" x14ac:dyDescent="0.25">
      <c r="A3568" s="6">
        <v>40987</v>
      </c>
      <c r="B3568">
        <v>3.6563999999999998E-4</v>
      </c>
    </row>
    <row r="3569" spans="1:2" x14ac:dyDescent="0.25">
      <c r="A3569" s="6">
        <v>40988</v>
      </c>
      <c r="B3569">
        <v>3.6563999999999998E-4</v>
      </c>
    </row>
    <row r="3570" spans="1:2" x14ac:dyDescent="0.25">
      <c r="A3570" s="6">
        <v>40989</v>
      </c>
      <c r="B3570">
        <v>3.6563999999999998E-4</v>
      </c>
    </row>
    <row r="3571" spans="1:2" x14ac:dyDescent="0.25">
      <c r="A3571" s="6">
        <v>40990</v>
      </c>
      <c r="B3571">
        <v>3.6563999999999998E-4</v>
      </c>
    </row>
    <row r="3572" spans="1:2" x14ac:dyDescent="0.25">
      <c r="A3572" s="6">
        <v>40991</v>
      </c>
      <c r="B3572">
        <v>3.6563999999999998E-4</v>
      </c>
    </row>
    <row r="3573" spans="1:2" x14ac:dyDescent="0.25">
      <c r="A3573" s="6">
        <v>40994</v>
      </c>
      <c r="B3573">
        <v>3.6563999999999998E-4</v>
      </c>
    </row>
    <row r="3574" spans="1:2" x14ac:dyDescent="0.25">
      <c r="A3574" s="6">
        <v>40995</v>
      </c>
      <c r="B3574">
        <v>3.6563999999999998E-4</v>
      </c>
    </row>
    <row r="3575" spans="1:2" x14ac:dyDescent="0.25">
      <c r="A3575" s="6">
        <v>40996</v>
      </c>
      <c r="B3575">
        <v>3.6563999999999998E-4</v>
      </c>
    </row>
    <row r="3576" spans="1:2" x14ac:dyDescent="0.25">
      <c r="A3576" s="6">
        <v>40997</v>
      </c>
      <c r="B3576">
        <v>3.6563999999999998E-4</v>
      </c>
    </row>
    <row r="3577" spans="1:2" x14ac:dyDescent="0.25">
      <c r="A3577" s="6">
        <v>40998</v>
      </c>
      <c r="B3577">
        <v>3.6563999999999998E-4</v>
      </c>
    </row>
    <row r="3578" spans="1:2" x14ac:dyDescent="0.25">
      <c r="A3578" s="6">
        <v>41001</v>
      </c>
      <c r="B3578">
        <v>3.6563999999999998E-4</v>
      </c>
    </row>
    <row r="3579" spans="1:2" x14ac:dyDescent="0.25">
      <c r="A3579" s="6">
        <v>41002</v>
      </c>
      <c r="B3579">
        <v>3.6563999999999998E-4</v>
      </c>
    </row>
    <row r="3580" spans="1:2" x14ac:dyDescent="0.25">
      <c r="A3580" s="6">
        <v>41003</v>
      </c>
      <c r="B3580">
        <v>3.6563999999999998E-4</v>
      </c>
    </row>
    <row r="3581" spans="1:2" x14ac:dyDescent="0.25">
      <c r="A3581" s="6">
        <v>41004</v>
      </c>
      <c r="B3581">
        <v>3.6563999999999998E-4</v>
      </c>
    </row>
    <row r="3582" spans="1:2" x14ac:dyDescent="0.25">
      <c r="A3582" s="6">
        <v>41008</v>
      </c>
      <c r="B3582">
        <v>3.6563999999999998E-4</v>
      </c>
    </row>
    <row r="3583" spans="1:2" x14ac:dyDescent="0.25">
      <c r="A3583" s="6">
        <v>41009</v>
      </c>
      <c r="B3583">
        <v>3.6563999999999998E-4</v>
      </c>
    </row>
    <row r="3584" spans="1:2" x14ac:dyDescent="0.25">
      <c r="A3584" s="6">
        <v>41010</v>
      </c>
      <c r="B3584">
        <v>3.6563999999999998E-4</v>
      </c>
    </row>
    <row r="3585" spans="1:2" x14ac:dyDescent="0.25">
      <c r="A3585" s="6">
        <v>41011</v>
      </c>
      <c r="B3585">
        <v>3.6563999999999998E-4</v>
      </c>
    </row>
    <row r="3586" spans="1:2" x14ac:dyDescent="0.25">
      <c r="A3586" s="6">
        <v>41012</v>
      </c>
      <c r="B3586">
        <v>3.6563999999999998E-4</v>
      </c>
    </row>
    <row r="3587" spans="1:2" x14ac:dyDescent="0.25">
      <c r="A3587" s="6">
        <v>41015</v>
      </c>
      <c r="B3587">
        <v>3.6563999999999998E-4</v>
      </c>
    </row>
    <row r="3588" spans="1:2" x14ac:dyDescent="0.25">
      <c r="A3588" s="6">
        <v>41016</v>
      </c>
      <c r="B3588">
        <v>3.6563999999999998E-4</v>
      </c>
    </row>
    <row r="3589" spans="1:2" x14ac:dyDescent="0.25">
      <c r="A3589" s="6">
        <v>41017</v>
      </c>
      <c r="B3589">
        <v>3.6563999999999998E-4</v>
      </c>
    </row>
    <row r="3590" spans="1:2" x14ac:dyDescent="0.25">
      <c r="A3590" s="6">
        <v>41018</v>
      </c>
      <c r="B3590">
        <v>3.3838999999999999E-4</v>
      </c>
    </row>
    <row r="3591" spans="1:2" x14ac:dyDescent="0.25">
      <c r="A3591" s="6">
        <v>41019</v>
      </c>
      <c r="B3591">
        <v>3.3838999999999999E-4</v>
      </c>
    </row>
    <row r="3592" spans="1:2" x14ac:dyDescent="0.25">
      <c r="A3592" s="6">
        <v>41022</v>
      </c>
      <c r="B3592">
        <v>3.3838999999999999E-4</v>
      </c>
    </row>
    <row r="3593" spans="1:2" x14ac:dyDescent="0.25">
      <c r="A3593" s="6">
        <v>41023</v>
      </c>
      <c r="B3593">
        <v>3.3838999999999999E-4</v>
      </c>
    </row>
    <row r="3594" spans="1:2" x14ac:dyDescent="0.25">
      <c r="A3594" s="6">
        <v>41024</v>
      </c>
      <c r="B3594">
        <v>3.3838999999999999E-4</v>
      </c>
    </row>
    <row r="3595" spans="1:2" x14ac:dyDescent="0.25">
      <c r="A3595" s="6">
        <v>41025</v>
      </c>
      <c r="B3595">
        <v>3.3838999999999999E-4</v>
      </c>
    </row>
    <row r="3596" spans="1:2" x14ac:dyDescent="0.25">
      <c r="A3596" s="6">
        <v>41026</v>
      </c>
      <c r="B3596">
        <v>3.3838999999999999E-4</v>
      </c>
    </row>
    <row r="3597" spans="1:2" x14ac:dyDescent="0.25">
      <c r="A3597" s="6">
        <v>41029</v>
      </c>
      <c r="B3597">
        <v>3.3838999999999999E-4</v>
      </c>
    </row>
    <row r="3598" spans="1:2" x14ac:dyDescent="0.25">
      <c r="A3598" s="6">
        <v>41031</v>
      </c>
      <c r="B3598">
        <v>3.3838999999999999E-4</v>
      </c>
    </row>
    <row r="3599" spans="1:2" x14ac:dyDescent="0.25">
      <c r="A3599" s="6">
        <v>41032</v>
      </c>
      <c r="B3599">
        <v>3.3838999999999999E-4</v>
      </c>
    </row>
    <row r="3600" spans="1:2" x14ac:dyDescent="0.25">
      <c r="A3600" s="6">
        <v>41033</v>
      </c>
      <c r="B3600">
        <v>3.3838999999999999E-4</v>
      </c>
    </row>
    <row r="3601" spans="1:2" x14ac:dyDescent="0.25">
      <c r="A3601" s="6">
        <v>41036</v>
      </c>
      <c r="B3601">
        <v>3.3838999999999999E-4</v>
      </c>
    </row>
    <row r="3602" spans="1:2" x14ac:dyDescent="0.25">
      <c r="A3602" s="6">
        <v>41037</v>
      </c>
      <c r="B3602">
        <v>3.3838999999999999E-4</v>
      </c>
    </row>
    <row r="3603" spans="1:2" x14ac:dyDescent="0.25">
      <c r="A3603" s="6">
        <v>41038</v>
      </c>
      <c r="B3603">
        <v>3.3838999999999999E-4</v>
      </c>
    </row>
    <row r="3604" spans="1:2" x14ac:dyDescent="0.25">
      <c r="A3604" s="6">
        <v>41039</v>
      </c>
      <c r="B3604">
        <v>3.3838999999999999E-4</v>
      </c>
    </row>
    <row r="3605" spans="1:2" x14ac:dyDescent="0.25">
      <c r="A3605" s="6">
        <v>41040</v>
      </c>
      <c r="B3605">
        <v>3.3838999999999999E-4</v>
      </c>
    </row>
    <row r="3606" spans="1:2" x14ac:dyDescent="0.25">
      <c r="A3606" s="6">
        <v>41043</v>
      </c>
      <c r="B3606">
        <v>3.3803000000000001E-4</v>
      </c>
    </row>
    <row r="3607" spans="1:2" x14ac:dyDescent="0.25">
      <c r="A3607" s="6">
        <v>41044</v>
      </c>
      <c r="B3607">
        <v>3.3803000000000001E-4</v>
      </c>
    </row>
    <row r="3608" spans="1:2" x14ac:dyDescent="0.25">
      <c r="A3608" s="6">
        <v>41045</v>
      </c>
      <c r="B3608">
        <v>3.3803000000000001E-4</v>
      </c>
    </row>
    <row r="3609" spans="1:2" x14ac:dyDescent="0.25">
      <c r="A3609" s="6">
        <v>41046</v>
      </c>
      <c r="B3609">
        <v>3.3803000000000001E-4</v>
      </c>
    </row>
    <row r="3610" spans="1:2" x14ac:dyDescent="0.25">
      <c r="A3610" s="6">
        <v>41047</v>
      </c>
      <c r="B3610">
        <v>3.3803000000000001E-4</v>
      </c>
    </row>
    <row r="3611" spans="1:2" x14ac:dyDescent="0.25">
      <c r="A3611" s="6">
        <v>41050</v>
      </c>
      <c r="B3611">
        <v>3.3803000000000001E-4</v>
      </c>
    </row>
    <row r="3612" spans="1:2" x14ac:dyDescent="0.25">
      <c r="A3612" s="6">
        <v>41051</v>
      </c>
      <c r="B3612">
        <v>3.3803000000000001E-4</v>
      </c>
    </row>
    <row r="3613" spans="1:2" x14ac:dyDescent="0.25">
      <c r="A3613" s="6">
        <v>41052</v>
      </c>
      <c r="B3613">
        <v>3.3803000000000001E-4</v>
      </c>
    </row>
    <row r="3614" spans="1:2" x14ac:dyDescent="0.25">
      <c r="A3614" s="6">
        <v>41053</v>
      </c>
      <c r="B3614">
        <v>3.3803000000000001E-4</v>
      </c>
    </row>
    <row r="3615" spans="1:2" x14ac:dyDescent="0.25">
      <c r="A3615" s="6">
        <v>41054</v>
      </c>
      <c r="B3615">
        <v>3.3803000000000001E-4</v>
      </c>
    </row>
    <row r="3616" spans="1:2" x14ac:dyDescent="0.25">
      <c r="A3616" s="6">
        <v>41057</v>
      </c>
      <c r="B3616">
        <v>3.3803000000000001E-4</v>
      </c>
    </row>
    <row r="3617" spans="1:2" x14ac:dyDescent="0.25">
      <c r="A3617" s="6">
        <v>41058</v>
      </c>
      <c r="B3617">
        <v>3.3803000000000001E-4</v>
      </c>
    </row>
    <row r="3618" spans="1:2" x14ac:dyDescent="0.25">
      <c r="A3618" s="6">
        <v>41059</v>
      </c>
      <c r="B3618">
        <v>3.3765999999999999E-4</v>
      </c>
    </row>
    <row r="3619" spans="1:2" x14ac:dyDescent="0.25">
      <c r="A3619" s="6">
        <v>41060</v>
      </c>
      <c r="B3619">
        <v>3.1975999999999999E-4</v>
      </c>
    </row>
    <row r="3620" spans="1:2" x14ac:dyDescent="0.25">
      <c r="A3620" s="6">
        <v>41061</v>
      </c>
      <c r="B3620">
        <v>3.1975999999999999E-4</v>
      </c>
    </row>
    <row r="3621" spans="1:2" x14ac:dyDescent="0.25">
      <c r="A3621" s="6">
        <v>41064</v>
      </c>
      <c r="B3621">
        <v>3.1975999999999999E-4</v>
      </c>
    </row>
    <row r="3622" spans="1:2" x14ac:dyDescent="0.25">
      <c r="A3622" s="6">
        <v>41065</v>
      </c>
      <c r="B3622">
        <v>3.1975999999999999E-4</v>
      </c>
    </row>
    <row r="3623" spans="1:2" x14ac:dyDescent="0.25">
      <c r="A3623" s="6">
        <v>41066</v>
      </c>
      <c r="B3623">
        <v>3.1975999999999999E-4</v>
      </c>
    </row>
    <row r="3624" spans="1:2" x14ac:dyDescent="0.25">
      <c r="A3624" s="6">
        <v>41068</v>
      </c>
      <c r="B3624">
        <v>3.1975999999999999E-4</v>
      </c>
    </row>
    <row r="3625" spans="1:2" x14ac:dyDescent="0.25">
      <c r="A3625" s="6">
        <v>41071</v>
      </c>
      <c r="B3625">
        <v>3.1975999999999999E-4</v>
      </c>
    </row>
    <row r="3626" spans="1:2" x14ac:dyDescent="0.25">
      <c r="A3626" s="6">
        <v>41072</v>
      </c>
      <c r="B3626">
        <v>3.1975999999999999E-4</v>
      </c>
    </row>
    <row r="3627" spans="1:2" x14ac:dyDescent="0.25">
      <c r="A3627" s="6">
        <v>41073</v>
      </c>
      <c r="B3627">
        <v>3.1975999999999999E-4</v>
      </c>
    </row>
    <row r="3628" spans="1:2" x14ac:dyDescent="0.25">
      <c r="A3628" s="6">
        <v>41074</v>
      </c>
      <c r="B3628">
        <v>3.1975999999999999E-4</v>
      </c>
    </row>
    <row r="3629" spans="1:2" x14ac:dyDescent="0.25">
      <c r="A3629" s="6">
        <v>41075</v>
      </c>
      <c r="B3629">
        <v>3.1975999999999999E-4</v>
      </c>
    </row>
    <row r="3630" spans="1:2" x14ac:dyDescent="0.25">
      <c r="A3630" s="6">
        <v>41078</v>
      </c>
      <c r="B3630">
        <v>3.1975999999999999E-4</v>
      </c>
    </row>
    <row r="3631" spans="1:2" x14ac:dyDescent="0.25">
      <c r="A3631" s="6">
        <v>41079</v>
      </c>
      <c r="B3631">
        <v>3.1975999999999999E-4</v>
      </c>
    </row>
    <row r="3632" spans="1:2" x14ac:dyDescent="0.25">
      <c r="A3632" s="6">
        <v>41080</v>
      </c>
      <c r="B3632">
        <v>3.1975999999999999E-4</v>
      </c>
    </row>
    <row r="3633" spans="1:2" x14ac:dyDescent="0.25">
      <c r="A3633" s="6">
        <v>41081</v>
      </c>
      <c r="B3633">
        <v>3.1975999999999999E-4</v>
      </c>
    </row>
    <row r="3634" spans="1:2" x14ac:dyDescent="0.25">
      <c r="A3634" s="6">
        <v>41082</v>
      </c>
      <c r="B3634">
        <v>3.1975999999999999E-4</v>
      </c>
    </row>
    <row r="3635" spans="1:2" x14ac:dyDescent="0.25">
      <c r="A3635" s="6">
        <v>41085</v>
      </c>
      <c r="B3635">
        <v>3.1975999999999999E-4</v>
      </c>
    </row>
    <row r="3636" spans="1:2" x14ac:dyDescent="0.25">
      <c r="A3636" s="6">
        <v>41086</v>
      </c>
      <c r="B3636">
        <v>3.1975999999999999E-4</v>
      </c>
    </row>
    <row r="3637" spans="1:2" x14ac:dyDescent="0.25">
      <c r="A3637" s="6">
        <v>41087</v>
      </c>
      <c r="B3637">
        <v>3.1975999999999999E-4</v>
      </c>
    </row>
    <row r="3638" spans="1:2" x14ac:dyDescent="0.25">
      <c r="A3638" s="6">
        <v>41088</v>
      </c>
      <c r="B3638">
        <v>3.1975999999999999E-4</v>
      </c>
    </row>
    <row r="3639" spans="1:2" x14ac:dyDescent="0.25">
      <c r="A3639" s="6">
        <v>41089</v>
      </c>
      <c r="B3639">
        <v>3.2011999999999996E-4</v>
      </c>
    </row>
    <row r="3640" spans="1:2" x14ac:dyDescent="0.25">
      <c r="A3640" s="6">
        <v>41092</v>
      </c>
      <c r="B3640">
        <v>3.1975999999999999E-4</v>
      </c>
    </row>
    <row r="3641" spans="1:2" x14ac:dyDescent="0.25">
      <c r="A3641" s="6">
        <v>41093</v>
      </c>
      <c r="B3641">
        <v>3.1975999999999999E-4</v>
      </c>
    </row>
    <row r="3642" spans="1:2" x14ac:dyDescent="0.25">
      <c r="A3642" s="6">
        <v>41094</v>
      </c>
      <c r="B3642">
        <v>3.1975999999999999E-4</v>
      </c>
    </row>
    <row r="3643" spans="1:2" x14ac:dyDescent="0.25">
      <c r="A3643" s="6">
        <v>41095</v>
      </c>
      <c r="B3643">
        <v>3.1975999999999999E-4</v>
      </c>
    </row>
    <row r="3644" spans="1:2" x14ac:dyDescent="0.25">
      <c r="A3644" s="6">
        <v>41096</v>
      </c>
      <c r="B3644">
        <v>3.1975999999999999E-4</v>
      </c>
    </row>
    <row r="3645" spans="1:2" x14ac:dyDescent="0.25">
      <c r="A3645" s="6">
        <v>41099</v>
      </c>
      <c r="B3645">
        <v>3.1975999999999999E-4</v>
      </c>
    </row>
    <row r="3646" spans="1:2" x14ac:dyDescent="0.25">
      <c r="A3646" s="6">
        <v>41100</v>
      </c>
      <c r="B3646">
        <v>3.1975999999999999E-4</v>
      </c>
    </row>
    <row r="3647" spans="1:2" x14ac:dyDescent="0.25">
      <c r="A3647" s="6">
        <v>41101</v>
      </c>
      <c r="B3647">
        <v>3.1975999999999999E-4</v>
      </c>
    </row>
    <row r="3648" spans="1:2" x14ac:dyDescent="0.25">
      <c r="A3648" s="6">
        <v>41102</v>
      </c>
      <c r="B3648">
        <v>3.0140000000000001E-4</v>
      </c>
    </row>
    <row r="3649" spans="1:2" x14ac:dyDescent="0.25">
      <c r="A3649" s="6">
        <v>41103</v>
      </c>
      <c r="B3649">
        <v>3.0140000000000001E-4</v>
      </c>
    </row>
    <row r="3650" spans="1:2" x14ac:dyDescent="0.25">
      <c r="A3650" s="6">
        <v>41106</v>
      </c>
      <c r="B3650">
        <v>3.0140000000000001E-4</v>
      </c>
    </row>
    <row r="3651" spans="1:2" x14ac:dyDescent="0.25">
      <c r="A3651" s="6">
        <v>41107</v>
      </c>
      <c r="B3651">
        <v>3.0140000000000001E-4</v>
      </c>
    </row>
    <row r="3652" spans="1:2" x14ac:dyDescent="0.25">
      <c r="A3652" s="6">
        <v>41108</v>
      </c>
      <c r="B3652">
        <v>3.0140000000000001E-4</v>
      </c>
    </row>
    <row r="3653" spans="1:2" x14ac:dyDescent="0.25">
      <c r="A3653" s="6">
        <v>41109</v>
      </c>
      <c r="B3653">
        <v>3.0140000000000001E-4</v>
      </c>
    </row>
    <row r="3654" spans="1:2" x14ac:dyDescent="0.25">
      <c r="A3654" s="6">
        <v>41110</v>
      </c>
      <c r="B3654">
        <v>3.0140000000000001E-4</v>
      </c>
    </row>
    <row r="3655" spans="1:2" x14ac:dyDescent="0.25">
      <c r="A3655" s="6">
        <v>41113</v>
      </c>
      <c r="B3655">
        <v>3.0140000000000001E-4</v>
      </c>
    </row>
    <row r="3656" spans="1:2" x14ac:dyDescent="0.25">
      <c r="A3656" s="6">
        <v>41114</v>
      </c>
      <c r="B3656">
        <v>3.0140000000000001E-4</v>
      </c>
    </row>
    <row r="3657" spans="1:2" x14ac:dyDescent="0.25">
      <c r="A3657" s="6">
        <v>41115</v>
      </c>
      <c r="B3657">
        <v>3.0140000000000001E-4</v>
      </c>
    </row>
    <row r="3658" spans="1:2" x14ac:dyDescent="0.25">
      <c r="A3658" s="6">
        <v>41116</v>
      </c>
      <c r="B3658">
        <v>3.0140000000000001E-4</v>
      </c>
    </row>
    <row r="3659" spans="1:2" x14ac:dyDescent="0.25">
      <c r="A3659" s="6">
        <v>41117</v>
      </c>
      <c r="B3659">
        <v>3.0140000000000001E-4</v>
      </c>
    </row>
    <row r="3660" spans="1:2" x14ac:dyDescent="0.25">
      <c r="A3660" s="6">
        <v>41120</v>
      </c>
      <c r="B3660">
        <v>3.0140000000000001E-4</v>
      </c>
    </row>
    <row r="3661" spans="1:2" x14ac:dyDescent="0.25">
      <c r="A3661" s="6">
        <v>41121</v>
      </c>
      <c r="B3661">
        <v>3.0140000000000001E-4</v>
      </c>
    </row>
    <row r="3662" spans="1:2" x14ac:dyDescent="0.25">
      <c r="A3662" s="6">
        <v>41122</v>
      </c>
      <c r="B3662">
        <v>3.0140000000000001E-4</v>
      </c>
    </row>
    <row r="3663" spans="1:2" x14ac:dyDescent="0.25">
      <c r="A3663" s="6">
        <v>41123</v>
      </c>
      <c r="B3663">
        <v>3.0140000000000001E-4</v>
      </c>
    </row>
    <row r="3664" spans="1:2" x14ac:dyDescent="0.25">
      <c r="A3664" s="6">
        <v>41124</v>
      </c>
      <c r="B3664">
        <v>3.0140000000000001E-4</v>
      </c>
    </row>
    <row r="3665" spans="1:2" x14ac:dyDescent="0.25">
      <c r="A3665" s="6">
        <v>41127</v>
      </c>
      <c r="B3665">
        <v>3.0140000000000001E-4</v>
      </c>
    </row>
    <row r="3666" spans="1:2" x14ac:dyDescent="0.25">
      <c r="A3666" s="6">
        <v>41128</v>
      </c>
      <c r="B3666">
        <v>3.0140000000000001E-4</v>
      </c>
    </row>
    <row r="3667" spans="1:2" x14ac:dyDescent="0.25">
      <c r="A3667" s="6">
        <v>41129</v>
      </c>
      <c r="B3667">
        <v>3.0140000000000001E-4</v>
      </c>
    </row>
    <row r="3668" spans="1:2" x14ac:dyDescent="0.25">
      <c r="A3668" s="6">
        <v>41130</v>
      </c>
      <c r="B3668">
        <v>3.0140000000000001E-4</v>
      </c>
    </row>
    <row r="3669" spans="1:2" x14ac:dyDescent="0.25">
      <c r="A3669" s="6">
        <v>41131</v>
      </c>
      <c r="B3669">
        <v>3.0140000000000001E-4</v>
      </c>
    </row>
    <row r="3670" spans="1:2" x14ac:dyDescent="0.25">
      <c r="A3670" s="6">
        <v>41134</v>
      </c>
      <c r="B3670">
        <v>3.0140000000000001E-4</v>
      </c>
    </row>
    <row r="3671" spans="1:2" x14ac:dyDescent="0.25">
      <c r="A3671" s="6">
        <v>41135</v>
      </c>
      <c r="B3671">
        <v>3.0140000000000001E-4</v>
      </c>
    </row>
    <row r="3672" spans="1:2" x14ac:dyDescent="0.25">
      <c r="A3672" s="6">
        <v>41136</v>
      </c>
      <c r="B3672">
        <v>3.0140000000000001E-4</v>
      </c>
    </row>
    <row r="3673" spans="1:2" x14ac:dyDescent="0.25">
      <c r="A3673" s="6">
        <v>41137</v>
      </c>
      <c r="B3673">
        <v>3.0140000000000001E-4</v>
      </c>
    </row>
    <row r="3674" spans="1:2" x14ac:dyDescent="0.25">
      <c r="A3674" s="6">
        <v>41138</v>
      </c>
      <c r="B3674">
        <v>3.0140000000000001E-4</v>
      </c>
    </row>
    <row r="3675" spans="1:2" x14ac:dyDescent="0.25">
      <c r="A3675" s="6">
        <v>41141</v>
      </c>
      <c r="B3675">
        <v>3.0140000000000001E-4</v>
      </c>
    </row>
    <row r="3676" spans="1:2" x14ac:dyDescent="0.25">
      <c r="A3676" s="6">
        <v>41142</v>
      </c>
      <c r="B3676">
        <v>3.0140000000000001E-4</v>
      </c>
    </row>
    <row r="3677" spans="1:2" x14ac:dyDescent="0.25">
      <c r="A3677" s="6">
        <v>41143</v>
      </c>
      <c r="B3677">
        <v>3.0140000000000001E-4</v>
      </c>
    </row>
    <row r="3678" spans="1:2" x14ac:dyDescent="0.25">
      <c r="A3678" s="6">
        <v>41144</v>
      </c>
      <c r="B3678">
        <v>3.0140000000000001E-4</v>
      </c>
    </row>
    <row r="3679" spans="1:2" x14ac:dyDescent="0.25">
      <c r="A3679" s="6">
        <v>41145</v>
      </c>
      <c r="B3679">
        <v>3.0140000000000001E-4</v>
      </c>
    </row>
    <row r="3680" spans="1:2" x14ac:dyDescent="0.25">
      <c r="A3680" s="6">
        <v>41148</v>
      </c>
      <c r="B3680">
        <v>3.0140000000000001E-4</v>
      </c>
    </row>
    <row r="3681" spans="1:2" x14ac:dyDescent="0.25">
      <c r="A3681" s="6">
        <v>41149</v>
      </c>
      <c r="B3681">
        <v>3.0140000000000001E-4</v>
      </c>
    </row>
    <row r="3682" spans="1:2" x14ac:dyDescent="0.25">
      <c r="A3682" s="6">
        <v>41150</v>
      </c>
      <c r="B3682">
        <v>3.0140000000000001E-4</v>
      </c>
    </row>
    <row r="3683" spans="1:2" x14ac:dyDescent="0.25">
      <c r="A3683" s="6">
        <v>41151</v>
      </c>
      <c r="B3683">
        <v>2.8296000000000001E-4</v>
      </c>
    </row>
    <row r="3684" spans="1:2" x14ac:dyDescent="0.25">
      <c r="A3684" s="6">
        <v>41152</v>
      </c>
      <c r="B3684">
        <v>2.8296000000000001E-4</v>
      </c>
    </row>
    <row r="3685" spans="1:2" x14ac:dyDescent="0.25">
      <c r="A3685" s="6">
        <v>41155</v>
      </c>
      <c r="B3685">
        <v>2.8296000000000001E-4</v>
      </c>
    </row>
    <row r="3686" spans="1:2" x14ac:dyDescent="0.25">
      <c r="A3686" s="6">
        <v>41156</v>
      </c>
      <c r="B3686">
        <v>2.8296000000000001E-4</v>
      </c>
    </row>
    <row r="3687" spans="1:2" x14ac:dyDescent="0.25">
      <c r="A3687" s="6">
        <v>41157</v>
      </c>
      <c r="B3687">
        <v>2.8296000000000001E-4</v>
      </c>
    </row>
    <row r="3688" spans="1:2" x14ac:dyDescent="0.25">
      <c r="A3688" s="6">
        <v>41158</v>
      </c>
      <c r="B3688">
        <v>2.8296000000000001E-4</v>
      </c>
    </row>
    <row r="3689" spans="1:2" x14ac:dyDescent="0.25">
      <c r="A3689" s="6">
        <v>41162</v>
      </c>
      <c r="B3689">
        <v>2.8296000000000001E-4</v>
      </c>
    </row>
    <row r="3690" spans="1:2" x14ac:dyDescent="0.25">
      <c r="A3690" s="6">
        <v>41163</v>
      </c>
      <c r="B3690">
        <v>2.8296000000000001E-4</v>
      </c>
    </row>
    <row r="3691" spans="1:2" x14ac:dyDescent="0.25">
      <c r="A3691" s="6">
        <v>41164</v>
      </c>
      <c r="B3691">
        <v>2.8296000000000001E-4</v>
      </c>
    </row>
    <row r="3692" spans="1:2" x14ac:dyDescent="0.25">
      <c r="A3692" s="6">
        <v>41165</v>
      </c>
      <c r="B3692">
        <v>2.8296000000000001E-4</v>
      </c>
    </row>
    <row r="3693" spans="1:2" x14ac:dyDescent="0.25">
      <c r="A3693" s="6">
        <v>41166</v>
      </c>
      <c r="B3693">
        <v>2.8296000000000001E-4</v>
      </c>
    </row>
    <row r="3694" spans="1:2" x14ac:dyDescent="0.25">
      <c r="A3694" s="6">
        <v>41169</v>
      </c>
      <c r="B3694">
        <v>2.8296000000000001E-4</v>
      </c>
    </row>
    <row r="3695" spans="1:2" x14ac:dyDescent="0.25">
      <c r="A3695" s="6">
        <v>41170</v>
      </c>
      <c r="B3695">
        <v>2.8296000000000001E-4</v>
      </c>
    </row>
    <row r="3696" spans="1:2" x14ac:dyDescent="0.25">
      <c r="A3696" s="6">
        <v>41171</v>
      </c>
      <c r="B3696">
        <v>2.8296000000000001E-4</v>
      </c>
    </row>
    <row r="3697" spans="1:2" x14ac:dyDescent="0.25">
      <c r="A3697" s="6">
        <v>41172</v>
      </c>
      <c r="B3697">
        <v>2.8296000000000001E-4</v>
      </c>
    </row>
    <row r="3698" spans="1:2" x14ac:dyDescent="0.25">
      <c r="A3698" s="6">
        <v>41173</v>
      </c>
      <c r="B3698">
        <v>2.8296000000000001E-4</v>
      </c>
    </row>
    <row r="3699" spans="1:2" x14ac:dyDescent="0.25">
      <c r="A3699" s="6">
        <v>41176</v>
      </c>
      <c r="B3699">
        <v>2.8296000000000001E-4</v>
      </c>
    </row>
    <row r="3700" spans="1:2" x14ac:dyDescent="0.25">
      <c r="A3700" s="6">
        <v>41177</v>
      </c>
      <c r="B3700">
        <v>2.8296000000000001E-4</v>
      </c>
    </row>
    <row r="3701" spans="1:2" x14ac:dyDescent="0.25">
      <c r="A3701" s="6">
        <v>41178</v>
      </c>
      <c r="B3701">
        <v>2.8296000000000001E-4</v>
      </c>
    </row>
    <row r="3702" spans="1:2" x14ac:dyDescent="0.25">
      <c r="A3702" s="6">
        <v>41179</v>
      </c>
      <c r="B3702">
        <v>2.8296000000000001E-4</v>
      </c>
    </row>
    <row r="3703" spans="1:2" x14ac:dyDescent="0.25">
      <c r="A3703" s="6">
        <v>41180</v>
      </c>
      <c r="B3703">
        <v>2.8296000000000001E-4</v>
      </c>
    </row>
    <row r="3704" spans="1:2" x14ac:dyDescent="0.25">
      <c r="A3704" s="6">
        <v>41183</v>
      </c>
      <c r="B3704">
        <v>2.8296000000000001E-4</v>
      </c>
    </row>
    <row r="3705" spans="1:2" x14ac:dyDescent="0.25">
      <c r="A3705" s="6">
        <v>41184</v>
      </c>
      <c r="B3705">
        <v>2.8296000000000001E-4</v>
      </c>
    </row>
    <row r="3706" spans="1:2" x14ac:dyDescent="0.25">
      <c r="A3706" s="6">
        <v>41185</v>
      </c>
      <c r="B3706">
        <v>2.8296000000000001E-4</v>
      </c>
    </row>
    <row r="3707" spans="1:2" x14ac:dyDescent="0.25">
      <c r="A3707" s="6">
        <v>41186</v>
      </c>
      <c r="B3707">
        <v>2.8296000000000001E-4</v>
      </c>
    </row>
    <row r="3708" spans="1:2" x14ac:dyDescent="0.25">
      <c r="A3708" s="6">
        <v>41187</v>
      </c>
      <c r="B3708">
        <v>2.8296000000000001E-4</v>
      </c>
    </row>
    <row r="3709" spans="1:2" x14ac:dyDescent="0.25">
      <c r="A3709" s="6">
        <v>41190</v>
      </c>
      <c r="B3709">
        <v>2.8296000000000001E-4</v>
      </c>
    </row>
    <row r="3710" spans="1:2" x14ac:dyDescent="0.25">
      <c r="A3710" s="6">
        <v>41191</v>
      </c>
      <c r="B3710">
        <v>2.8296000000000001E-4</v>
      </c>
    </row>
    <row r="3711" spans="1:2" x14ac:dyDescent="0.25">
      <c r="A3711" s="6">
        <v>41192</v>
      </c>
      <c r="B3711">
        <v>2.8296000000000001E-4</v>
      </c>
    </row>
    <row r="3712" spans="1:2" x14ac:dyDescent="0.25">
      <c r="A3712" s="6">
        <v>41193</v>
      </c>
      <c r="B3712">
        <v>2.7370999999999998E-4</v>
      </c>
    </row>
    <row r="3713" spans="1:2" x14ac:dyDescent="0.25">
      <c r="A3713" s="6">
        <v>41197</v>
      </c>
      <c r="B3713">
        <v>2.7370999999999998E-4</v>
      </c>
    </row>
    <row r="3714" spans="1:2" x14ac:dyDescent="0.25">
      <c r="A3714" s="6">
        <v>41198</v>
      </c>
      <c r="B3714">
        <v>2.7370999999999998E-4</v>
      </c>
    </row>
    <row r="3715" spans="1:2" x14ac:dyDescent="0.25">
      <c r="A3715" s="6">
        <v>41199</v>
      </c>
      <c r="B3715">
        <v>2.7370999999999998E-4</v>
      </c>
    </row>
    <row r="3716" spans="1:2" x14ac:dyDescent="0.25">
      <c r="A3716" s="6">
        <v>41200</v>
      </c>
      <c r="B3716">
        <v>2.7370999999999998E-4</v>
      </c>
    </row>
    <row r="3717" spans="1:2" x14ac:dyDescent="0.25">
      <c r="A3717" s="6">
        <v>41201</v>
      </c>
      <c r="B3717">
        <v>2.7370999999999998E-4</v>
      </c>
    </row>
    <row r="3718" spans="1:2" x14ac:dyDescent="0.25">
      <c r="A3718" s="6">
        <v>41204</v>
      </c>
      <c r="B3718">
        <v>2.7370999999999998E-4</v>
      </c>
    </row>
    <row r="3719" spans="1:2" x14ac:dyDescent="0.25">
      <c r="A3719" s="6">
        <v>41205</v>
      </c>
      <c r="B3719">
        <v>2.7370999999999998E-4</v>
      </c>
    </row>
    <row r="3720" spans="1:2" x14ac:dyDescent="0.25">
      <c r="A3720" s="6">
        <v>41206</v>
      </c>
      <c r="B3720">
        <v>2.7370999999999998E-4</v>
      </c>
    </row>
    <row r="3721" spans="1:2" x14ac:dyDescent="0.25">
      <c r="A3721" s="6">
        <v>41207</v>
      </c>
      <c r="B3721">
        <v>2.7370999999999998E-4</v>
      </c>
    </row>
    <row r="3722" spans="1:2" x14ac:dyDescent="0.25">
      <c r="A3722" s="6">
        <v>41208</v>
      </c>
      <c r="B3722">
        <v>2.7370999999999998E-4</v>
      </c>
    </row>
    <row r="3723" spans="1:2" x14ac:dyDescent="0.25">
      <c r="A3723" s="6">
        <v>41211</v>
      </c>
      <c r="B3723">
        <v>2.7370999999999998E-4</v>
      </c>
    </row>
    <row r="3724" spans="1:2" x14ac:dyDescent="0.25">
      <c r="A3724" s="6">
        <v>41212</v>
      </c>
      <c r="B3724">
        <v>2.7370999999999998E-4</v>
      </c>
    </row>
    <row r="3725" spans="1:2" x14ac:dyDescent="0.25">
      <c r="A3725" s="6">
        <v>41213</v>
      </c>
      <c r="B3725">
        <v>2.7370999999999998E-4</v>
      </c>
    </row>
    <row r="3726" spans="1:2" x14ac:dyDescent="0.25">
      <c r="A3726" s="6">
        <v>41214</v>
      </c>
      <c r="B3726">
        <v>2.7370999999999998E-4</v>
      </c>
    </row>
    <row r="3727" spans="1:2" x14ac:dyDescent="0.25">
      <c r="A3727" s="6">
        <v>41218</v>
      </c>
      <c r="B3727">
        <v>2.7370999999999998E-4</v>
      </c>
    </row>
    <row r="3728" spans="1:2" x14ac:dyDescent="0.25">
      <c r="A3728" s="6">
        <v>41219</v>
      </c>
      <c r="B3728">
        <v>2.7370999999999998E-4</v>
      </c>
    </row>
    <row r="3729" spans="1:2" x14ac:dyDescent="0.25">
      <c r="A3729" s="6">
        <v>41220</v>
      </c>
      <c r="B3729">
        <v>2.7370999999999998E-4</v>
      </c>
    </row>
    <row r="3730" spans="1:2" x14ac:dyDescent="0.25">
      <c r="A3730" s="6">
        <v>41221</v>
      </c>
      <c r="B3730">
        <v>2.7370999999999998E-4</v>
      </c>
    </row>
    <row r="3731" spans="1:2" x14ac:dyDescent="0.25">
      <c r="A3731" s="6">
        <v>41222</v>
      </c>
      <c r="B3731">
        <v>2.7370999999999998E-4</v>
      </c>
    </row>
    <row r="3732" spans="1:2" x14ac:dyDescent="0.25">
      <c r="A3732" s="6">
        <v>41225</v>
      </c>
      <c r="B3732">
        <v>2.7370999999999998E-4</v>
      </c>
    </row>
    <row r="3733" spans="1:2" x14ac:dyDescent="0.25">
      <c r="A3733" s="6">
        <v>41226</v>
      </c>
      <c r="B3733">
        <v>2.7370999999999998E-4</v>
      </c>
    </row>
    <row r="3734" spans="1:2" x14ac:dyDescent="0.25">
      <c r="A3734" s="6">
        <v>41227</v>
      </c>
      <c r="B3734">
        <v>2.7370999999999998E-4</v>
      </c>
    </row>
    <row r="3735" spans="1:2" x14ac:dyDescent="0.25">
      <c r="A3735" s="6">
        <v>41229</v>
      </c>
      <c r="B3735">
        <v>2.7370999999999998E-4</v>
      </c>
    </row>
    <row r="3736" spans="1:2" x14ac:dyDescent="0.25">
      <c r="A3736" s="6">
        <v>41232</v>
      </c>
      <c r="B3736">
        <v>2.7370999999999998E-4</v>
      </c>
    </row>
    <row r="3737" spans="1:2" x14ac:dyDescent="0.25">
      <c r="A3737" s="6">
        <v>41233</v>
      </c>
      <c r="B3737">
        <v>2.7370999999999998E-4</v>
      </c>
    </row>
    <row r="3738" spans="1:2" x14ac:dyDescent="0.25">
      <c r="A3738" s="6">
        <v>41234</v>
      </c>
      <c r="B3738">
        <v>2.7370999999999998E-4</v>
      </c>
    </row>
    <row r="3739" spans="1:2" x14ac:dyDescent="0.25">
      <c r="A3739" s="6">
        <v>41235</v>
      </c>
      <c r="B3739">
        <v>2.7370999999999998E-4</v>
      </c>
    </row>
    <row r="3740" spans="1:2" x14ac:dyDescent="0.25">
      <c r="A3740" s="6">
        <v>41236</v>
      </c>
      <c r="B3740">
        <v>2.7370999999999998E-4</v>
      </c>
    </row>
    <row r="3741" spans="1:2" x14ac:dyDescent="0.25">
      <c r="A3741" s="6">
        <v>41239</v>
      </c>
      <c r="B3741">
        <v>2.7370999999999998E-4</v>
      </c>
    </row>
    <row r="3742" spans="1:2" x14ac:dyDescent="0.25">
      <c r="A3742" s="6">
        <v>41240</v>
      </c>
      <c r="B3742">
        <v>2.7370999999999998E-4</v>
      </c>
    </row>
    <row r="3743" spans="1:2" x14ac:dyDescent="0.25">
      <c r="A3743" s="6">
        <v>41241</v>
      </c>
      <c r="B3743">
        <v>2.7370999999999998E-4</v>
      </c>
    </row>
    <row r="3744" spans="1:2" x14ac:dyDescent="0.25">
      <c r="A3744" s="6">
        <v>41242</v>
      </c>
      <c r="B3744">
        <v>2.7370999999999998E-4</v>
      </c>
    </row>
    <row r="3745" spans="1:2" x14ac:dyDescent="0.25">
      <c r="A3745" s="6">
        <v>41243</v>
      </c>
      <c r="B3745">
        <v>2.7370999999999998E-4</v>
      </c>
    </row>
    <row r="3746" spans="1:2" x14ac:dyDescent="0.25">
      <c r="A3746" s="6">
        <v>41246</v>
      </c>
      <c r="B3746">
        <v>2.7370999999999998E-4</v>
      </c>
    </row>
    <row r="3747" spans="1:2" x14ac:dyDescent="0.25">
      <c r="A3747" s="6">
        <v>41247</v>
      </c>
      <c r="B3747">
        <v>2.7370999999999998E-4</v>
      </c>
    </row>
    <row r="3748" spans="1:2" x14ac:dyDescent="0.25">
      <c r="A3748" s="6">
        <v>41248</v>
      </c>
      <c r="B3748">
        <v>2.7370999999999998E-4</v>
      </c>
    </row>
    <row r="3749" spans="1:2" x14ac:dyDescent="0.25">
      <c r="A3749" s="6">
        <v>41249</v>
      </c>
      <c r="B3749">
        <v>2.7370999999999998E-4</v>
      </c>
    </row>
    <row r="3750" spans="1:2" x14ac:dyDescent="0.25">
      <c r="A3750" s="6">
        <v>41250</v>
      </c>
      <c r="B3750">
        <v>2.7370999999999998E-4</v>
      </c>
    </row>
    <row r="3751" spans="1:2" x14ac:dyDescent="0.25">
      <c r="A3751" s="6">
        <v>41253</v>
      </c>
      <c r="B3751">
        <v>2.7370999999999998E-4</v>
      </c>
    </row>
    <row r="3752" spans="1:2" x14ac:dyDescent="0.25">
      <c r="A3752" s="6">
        <v>41254</v>
      </c>
      <c r="B3752">
        <v>2.7334000000000001E-4</v>
      </c>
    </row>
    <row r="3753" spans="1:2" x14ac:dyDescent="0.25">
      <c r="A3753" s="6">
        <v>41255</v>
      </c>
      <c r="B3753">
        <v>2.7334000000000001E-4</v>
      </c>
    </row>
    <row r="3754" spans="1:2" x14ac:dyDescent="0.25">
      <c r="A3754" s="6">
        <v>41256</v>
      </c>
      <c r="B3754">
        <v>2.7334000000000001E-4</v>
      </c>
    </row>
    <row r="3755" spans="1:2" x14ac:dyDescent="0.25">
      <c r="A3755" s="6">
        <v>41257</v>
      </c>
      <c r="B3755">
        <v>2.7296999999999998E-4</v>
      </c>
    </row>
    <row r="3756" spans="1:2" x14ac:dyDescent="0.25">
      <c r="A3756" s="6">
        <v>41260</v>
      </c>
      <c r="B3756">
        <v>2.7296999999999998E-4</v>
      </c>
    </row>
    <row r="3757" spans="1:2" x14ac:dyDescent="0.25">
      <c r="A3757" s="6">
        <v>41261</v>
      </c>
      <c r="B3757">
        <v>2.7260000000000001E-4</v>
      </c>
    </row>
    <row r="3758" spans="1:2" x14ac:dyDescent="0.25">
      <c r="A3758" s="6">
        <v>41262</v>
      </c>
      <c r="B3758">
        <v>2.7260000000000001E-4</v>
      </c>
    </row>
    <row r="3759" spans="1:2" x14ac:dyDescent="0.25">
      <c r="A3759" s="6">
        <v>41263</v>
      </c>
      <c r="B3759">
        <v>2.7260000000000001E-4</v>
      </c>
    </row>
    <row r="3760" spans="1:2" x14ac:dyDescent="0.25">
      <c r="A3760" s="6">
        <v>41264</v>
      </c>
      <c r="B3760">
        <v>2.7260000000000001E-4</v>
      </c>
    </row>
    <row r="3761" spans="1:2" x14ac:dyDescent="0.25">
      <c r="A3761" s="6">
        <v>41267</v>
      </c>
      <c r="B3761">
        <v>2.7556E-4</v>
      </c>
    </row>
    <row r="3762" spans="1:2" x14ac:dyDescent="0.25">
      <c r="A3762" s="6">
        <v>41269</v>
      </c>
      <c r="B3762">
        <v>2.7742000000000001E-4</v>
      </c>
    </row>
    <row r="3763" spans="1:2" x14ac:dyDescent="0.25">
      <c r="A3763" s="6">
        <v>41270</v>
      </c>
      <c r="B3763">
        <v>2.7779000000000004E-4</v>
      </c>
    </row>
    <row r="3764" spans="1:2" x14ac:dyDescent="0.25">
      <c r="A3764" s="6">
        <v>41271</v>
      </c>
      <c r="B3764">
        <v>2.7852999999999998E-4</v>
      </c>
    </row>
    <row r="3765" spans="1:2" x14ac:dyDescent="0.25">
      <c r="A3765" s="6">
        <v>41274</v>
      </c>
      <c r="B3765">
        <v>2.7927000000000003E-4</v>
      </c>
    </row>
    <row r="3766" spans="1:2" x14ac:dyDescent="0.25">
      <c r="A3766" s="6">
        <v>41276</v>
      </c>
      <c r="B3766">
        <v>2.7260000000000001E-4</v>
      </c>
    </row>
    <row r="3767" spans="1:2" x14ac:dyDescent="0.25">
      <c r="A3767" s="6">
        <v>41277</v>
      </c>
      <c r="B3767">
        <v>2.7260000000000001E-4</v>
      </c>
    </row>
    <row r="3768" spans="1:2" x14ac:dyDescent="0.25">
      <c r="A3768" s="6">
        <v>41278</v>
      </c>
      <c r="B3768">
        <v>2.7260000000000001E-4</v>
      </c>
    </row>
    <row r="3769" spans="1:2" x14ac:dyDescent="0.25">
      <c r="A3769" s="6">
        <v>41281</v>
      </c>
      <c r="B3769">
        <v>2.7260000000000001E-4</v>
      </c>
    </row>
    <row r="3770" spans="1:2" x14ac:dyDescent="0.25">
      <c r="A3770" s="6">
        <v>41282</v>
      </c>
      <c r="B3770">
        <v>2.7260000000000001E-4</v>
      </c>
    </row>
    <row r="3771" spans="1:2" x14ac:dyDescent="0.25">
      <c r="A3771" s="6">
        <v>41283</v>
      </c>
      <c r="B3771">
        <v>2.7260000000000001E-4</v>
      </c>
    </row>
    <row r="3772" spans="1:2" x14ac:dyDescent="0.25">
      <c r="A3772" s="6">
        <v>41284</v>
      </c>
      <c r="B3772">
        <v>2.7260000000000001E-4</v>
      </c>
    </row>
    <row r="3773" spans="1:2" x14ac:dyDescent="0.25">
      <c r="A3773" s="6">
        <v>41285</v>
      </c>
      <c r="B3773">
        <v>2.7260000000000001E-4</v>
      </c>
    </row>
    <row r="3774" spans="1:2" x14ac:dyDescent="0.25">
      <c r="A3774" s="6">
        <v>41288</v>
      </c>
      <c r="B3774">
        <v>2.7260000000000001E-4</v>
      </c>
    </row>
    <row r="3775" spans="1:2" x14ac:dyDescent="0.25">
      <c r="A3775" s="6">
        <v>41289</v>
      </c>
      <c r="B3775">
        <v>2.7260000000000001E-4</v>
      </c>
    </row>
    <row r="3776" spans="1:2" x14ac:dyDescent="0.25">
      <c r="A3776" s="6">
        <v>41290</v>
      </c>
      <c r="B3776">
        <v>2.7260000000000001E-4</v>
      </c>
    </row>
    <row r="3777" spans="1:2" x14ac:dyDescent="0.25">
      <c r="A3777" s="6">
        <v>41291</v>
      </c>
      <c r="B3777">
        <v>2.7260000000000001E-4</v>
      </c>
    </row>
    <row r="3778" spans="1:2" x14ac:dyDescent="0.25">
      <c r="A3778" s="6">
        <v>41292</v>
      </c>
      <c r="B3778">
        <v>2.7260000000000001E-4</v>
      </c>
    </row>
    <row r="3779" spans="1:2" x14ac:dyDescent="0.25">
      <c r="A3779" s="6">
        <v>41295</v>
      </c>
      <c r="B3779">
        <v>2.7260000000000001E-4</v>
      </c>
    </row>
    <row r="3780" spans="1:2" x14ac:dyDescent="0.25">
      <c r="A3780" s="6">
        <v>41296</v>
      </c>
      <c r="B3780">
        <v>2.7260000000000001E-4</v>
      </c>
    </row>
    <row r="3781" spans="1:2" x14ac:dyDescent="0.25">
      <c r="A3781" s="6">
        <v>41297</v>
      </c>
      <c r="B3781">
        <v>2.7260000000000001E-4</v>
      </c>
    </row>
    <row r="3782" spans="1:2" x14ac:dyDescent="0.25">
      <c r="A3782" s="6">
        <v>41298</v>
      </c>
      <c r="B3782">
        <v>2.7260000000000001E-4</v>
      </c>
    </row>
    <row r="3783" spans="1:2" x14ac:dyDescent="0.25">
      <c r="A3783" s="6">
        <v>41299</v>
      </c>
      <c r="B3783">
        <v>2.7260000000000001E-4</v>
      </c>
    </row>
    <row r="3784" spans="1:2" x14ac:dyDescent="0.25">
      <c r="A3784" s="6">
        <v>41302</v>
      </c>
      <c r="B3784">
        <v>2.7260000000000001E-4</v>
      </c>
    </row>
    <row r="3785" spans="1:2" x14ac:dyDescent="0.25">
      <c r="A3785" s="6">
        <v>41303</v>
      </c>
      <c r="B3785">
        <v>2.7260000000000001E-4</v>
      </c>
    </row>
    <row r="3786" spans="1:2" x14ac:dyDescent="0.25">
      <c r="A3786" s="6">
        <v>41304</v>
      </c>
      <c r="B3786">
        <v>2.7260000000000001E-4</v>
      </c>
    </row>
    <row r="3787" spans="1:2" x14ac:dyDescent="0.25">
      <c r="A3787" s="6">
        <v>41305</v>
      </c>
      <c r="B3787">
        <v>2.7260000000000001E-4</v>
      </c>
    </row>
    <row r="3788" spans="1:2" x14ac:dyDescent="0.25">
      <c r="A3788" s="6">
        <v>41306</v>
      </c>
      <c r="B3788">
        <v>2.7260000000000001E-4</v>
      </c>
    </row>
    <row r="3789" spans="1:2" x14ac:dyDescent="0.25">
      <c r="A3789" s="6">
        <v>41309</v>
      </c>
      <c r="B3789">
        <v>2.7260000000000001E-4</v>
      </c>
    </row>
    <row r="3790" spans="1:2" x14ac:dyDescent="0.25">
      <c r="A3790" s="6">
        <v>41310</v>
      </c>
      <c r="B3790">
        <v>2.7260000000000001E-4</v>
      </c>
    </row>
    <row r="3791" spans="1:2" x14ac:dyDescent="0.25">
      <c r="A3791" s="6">
        <v>41311</v>
      </c>
      <c r="B3791">
        <v>2.7260000000000001E-4</v>
      </c>
    </row>
    <row r="3792" spans="1:2" x14ac:dyDescent="0.25">
      <c r="A3792" s="6">
        <v>41312</v>
      </c>
      <c r="B3792">
        <v>2.7260000000000001E-4</v>
      </c>
    </row>
    <row r="3793" spans="1:2" x14ac:dyDescent="0.25">
      <c r="A3793" s="6">
        <v>41313</v>
      </c>
      <c r="B3793">
        <v>2.7260000000000001E-4</v>
      </c>
    </row>
    <row r="3794" spans="1:2" x14ac:dyDescent="0.25">
      <c r="A3794" s="6">
        <v>41318</v>
      </c>
      <c r="B3794">
        <v>2.7260000000000001E-4</v>
      </c>
    </row>
    <row r="3795" spans="1:2" x14ac:dyDescent="0.25">
      <c r="A3795" s="6">
        <v>41319</v>
      </c>
      <c r="B3795">
        <v>2.7260000000000001E-4</v>
      </c>
    </row>
    <row r="3796" spans="1:2" x14ac:dyDescent="0.25">
      <c r="A3796" s="6">
        <v>41320</v>
      </c>
      <c r="B3796">
        <v>2.7260000000000001E-4</v>
      </c>
    </row>
    <row r="3797" spans="1:2" x14ac:dyDescent="0.25">
      <c r="A3797" s="6">
        <v>41323</v>
      </c>
      <c r="B3797">
        <v>2.7260000000000001E-4</v>
      </c>
    </row>
    <row r="3798" spans="1:2" x14ac:dyDescent="0.25">
      <c r="A3798" s="6">
        <v>41324</v>
      </c>
      <c r="B3798">
        <v>2.7260000000000001E-4</v>
      </c>
    </row>
    <row r="3799" spans="1:2" x14ac:dyDescent="0.25">
      <c r="A3799" s="6">
        <v>41325</v>
      </c>
      <c r="B3799">
        <v>2.7260000000000001E-4</v>
      </c>
    </row>
    <row r="3800" spans="1:2" x14ac:dyDescent="0.25">
      <c r="A3800" s="6">
        <v>41326</v>
      </c>
      <c r="B3800">
        <v>2.7260000000000001E-4</v>
      </c>
    </row>
    <row r="3801" spans="1:2" x14ac:dyDescent="0.25">
      <c r="A3801" s="6">
        <v>41327</v>
      </c>
      <c r="B3801">
        <v>2.7260000000000001E-4</v>
      </c>
    </row>
    <row r="3802" spans="1:2" x14ac:dyDescent="0.25">
      <c r="A3802" s="6">
        <v>41330</v>
      </c>
      <c r="B3802">
        <v>2.7260000000000001E-4</v>
      </c>
    </row>
    <row r="3803" spans="1:2" x14ac:dyDescent="0.25">
      <c r="A3803" s="6">
        <v>41331</v>
      </c>
      <c r="B3803">
        <v>2.7518999999999997E-4</v>
      </c>
    </row>
    <row r="3804" spans="1:2" x14ac:dyDescent="0.25">
      <c r="A3804" s="6">
        <v>41332</v>
      </c>
      <c r="B3804">
        <v>2.7594000000000002E-4</v>
      </c>
    </row>
    <row r="3805" spans="1:2" x14ac:dyDescent="0.25">
      <c r="A3805" s="6">
        <v>41333</v>
      </c>
      <c r="B3805">
        <v>2.7594000000000002E-4</v>
      </c>
    </row>
    <row r="3806" spans="1:2" x14ac:dyDescent="0.25">
      <c r="A3806" s="6">
        <v>41334</v>
      </c>
      <c r="B3806">
        <v>2.7370999999999998E-4</v>
      </c>
    </row>
    <row r="3807" spans="1:2" x14ac:dyDescent="0.25">
      <c r="A3807" s="6">
        <v>41337</v>
      </c>
      <c r="B3807">
        <v>2.7296999999999998E-4</v>
      </c>
    </row>
    <row r="3808" spans="1:2" x14ac:dyDescent="0.25">
      <c r="A3808" s="6">
        <v>41338</v>
      </c>
      <c r="B3808">
        <v>2.7296999999999998E-4</v>
      </c>
    </row>
    <row r="3809" spans="1:2" x14ac:dyDescent="0.25">
      <c r="A3809" s="6">
        <v>41339</v>
      </c>
      <c r="B3809">
        <v>2.7370999999999998E-4</v>
      </c>
    </row>
    <row r="3810" spans="1:2" x14ac:dyDescent="0.25">
      <c r="A3810" s="6">
        <v>41340</v>
      </c>
      <c r="B3810">
        <v>2.7296999999999998E-4</v>
      </c>
    </row>
    <row r="3811" spans="1:2" x14ac:dyDescent="0.25">
      <c r="A3811" s="6">
        <v>41341</v>
      </c>
      <c r="B3811">
        <v>2.7334000000000001E-4</v>
      </c>
    </row>
    <row r="3812" spans="1:2" x14ac:dyDescent="0.25">
      <c r="A3812" s="6">
        <v>41344</v>
      </c>
      <c r="B3812">
        <v>2.7334000000000001E-4</v>
      </c>
    </row>
    <row r="3813" spans="1:2" x14ac:dyDescent="0.25">
      <c r="A3813" s="6">
        <v>41345</v>
      </c>
      <c r="B3813">
        <v>2.7370999999999998E-4</v>
      </c>
    </row>
    <row r="3814" spans="1:2" x14ac:dyDescent="0.25">
      <c r="A3814" s="6">
        <v>41346</v>
      </c>
      <c r="B3814">
        <v>2.7408000000000001E-4</v>
      </c>
    </row>
    <row r="3815" spans="1:2" x14ac:dyDescent="0.25">
      <c r="A3815" s="6">
        <v>41347</v>
      </c>
      <c r="B3815">
        <v>2.7445000000000003E-4</v>
      </c>
    </row>
    <row r="3816" spans="1:2" x14ac:dyDescent="0.25">
      <c r="A3816" s="6">
        <v>41348</v>
      </c>
      <c r="B3816">
        <v>2.7445000000000003E-4</v>
      </c>
    </row>
    <row r="3817" spans="1:2" x14ac:dyDescent="0.25">
      <c r="A3817" s="6">
        <v>41351</v>
      </c>
      <c r="B3817">
        <v>2.7445000000000003E-4</v>
      </c>
    </row>
    <row r="3818" spans="1:2" x14ac:dyDescent="0.25">
      <c r="A3818" s="6">
        <v>41352</v>
      </c>
      <c r="B3818">
        <v>2.7445000000000003E-4</v>
      </c>
    </row>
    <row r="3819" spans="1:2" x14ac:dyDescent="0.25">
      <c r="A3819" s="6">
        <v>41353</v>
      </c>
      <c r="B3819">
        <v>2.7445000000000003E-4</v>
      </c>
    </row>
    <row r="3820" spans="1:2" x14ac:dyDescent="0.25">
      <c r="A3820" s="6">
        <v>41354</v>
      </c>
      <c r="B3820">
        <v>2.7445000000000003E-4</v>
      </c>
    </row>
    <row r="3821" spans="1:2" x14ac:dyDescent="0.25">
      <c r="A3821" s="6">
        <v>41355</v>
      </c>
      <c r="B3821">
        <v>2.7445000000000003E-4</v>
      </c>
    </row>
    <row r="3822" spans="1:2" x14ac:dyDescent="0.25">
      <c r="A3822" s="6">
        <v>41358</v>
      </c>
      <c r="B3822">
        <v>2.7445000000000003E-4</v>
      </c>
    </row>
    <row r="3823" spans="1:2" x14ac:dyDescent="0.25">
      <c r="A3823" s="6">
        <v>41359</v>
      </c>
      <c r="B3823">
        <v>2.7445000000000003E-4</v>
      </c>
    </row>
    <row r="3824" spans="1:2" x14ac:dyDescent="0.25">
      <c r="A3824" s="6">
        <v>41360</v>
      </c>
      <c r="B3824">
        <v>2.7445000000000003E-4</v>
      </c>
    </row>
    <row r="3825" spans="1:2" x14ac:dyDescent="0.25">
      <c r="A3825" s="6">
        <v>41361</v>
      </c>
      <c r="B3825">
        <v>2.7445000000000003E-4</v>
      </c>
    </row>
    <row r="3826" spans="1:2" x14ac:dyDescent="0.25">
      <c r="A3826" s="6">
        <v>41365</v>
      </c>
      <c r="B3826">
        <v>2.7445000000000003E-4</v>
      </c>
    </row>
    <row r="3827" spans="1:2" x14ac:dyDescent="0.25">
      <c r="A3827" s="6">
        <v>41366</v>
      </c>
      <c r="B3827">
        <v>2.7445000000000003E-4</v>
      </c>
    </row>
    <row r="3828" spans="1:2" x14ac:dyDescent="0.25">
      <c r="A3828" s="6">
        <v>41367</v>
      </c>
      <c r="B3828">
        <v>2.7445000000000003E-4</v>
      </c>
    </row>
    <row r="3829" spans="1:2" x14ac:dyDescent="0.25">
      <c r="A3829" s="6">
        <v>41368</v>
      </c>
      <c r="B3829">
        <v>2.7445000000000003E-4</v>
      </c>
    </row>
    <row r="3830" spans="1:2" x14ac:dyDescent="0.25">
      <c r="A3830" s="6">
        <v>41369</v>
      </c>
      <c r="B3830">
        <v>2.7445000000000003E-4</v>
      </c>
    </row>
    <row r="3831" spans="1:2" x14ac:dyDescent="0.25">
      <c r="A3831" s="6">
        <v>41372</v>
      </c>
      <c r="B3831">
        <v>2.7445000000000003E-4</v>
      </c>
    </row>
    <row r="3832" spans="1:2" x14ac:dyDescent="0.25">
      <c r="A3832" s="6">
        <v>41373</v>
      </c>
      <c r="B3832">
        <v>2.7445000000000003E-4</v>
      </c>
    </row>
    <row r="3833" spans="1:2" x14ac:dyDescent="0.25">
      <c r="A3833" s="6">
        <v>41374</v>
      </c>
      <c r="B3833">
        <v>2.7445000000000003E-4</v>
      </c>
    </row>
    <row r="3834" spans="1:2" x14ac:dyDescent="0.25">
      <c r="A3834" s="6">
        <v>41375</v>
      </c>
      <c r="B3834">
        <v>2.7445000000000003E-4</v>
      </c>
    </row>
    <row r="3835" spans="1:2" x14ac:dyDescent="0.25">
      <c r="A3835" s="6">
        <v>41376</v>
      </c>
      <c r="B3835">
        <v>2.7445000000000003E-4</v>
      </c>
    </row>
    <row r="3836" spans="1:2" x14ac:dyDescent="0.25">
      <c r="A3836" s="6">
        <v>41379</v>
      </c>
      <c r="B3836">
        <v>2.7445000000000003E-4</v>
      </c>
    </row>
    <row r="3837" spans="1:2" x14ac:dyDescent="0.25">
      <c r="A3837" s="6">
        <v>41380</v>
      </c>
      <c r="B3837">
        <v>2.7445000000000003E-4</v>
      </c>
    </row>
    <row r="3838" spans="1:2" x14ac:dyDescent="0.25">
      <c r="A3838" s="6">
        <v>41381</v>
      </c>
      <c r="B3838">
        <v>2.7445000000000003E-4</v>
      </c>
    </row>
    <row r="3839" spans="1:2" x14ac:dyDescent="0.25">
      <c r="A3839" s="6">
        <v>41382</v>
      </c>
      <c r="B3839">
        <v>2.8370000000000001E-4</v>
      </c>
    </row>
    <row r="3840" spans="1:2" x14ac:dyDescent="0.25">
      <c r="A3840" s="6">
        <v>41383</v>
      </c>
      <c r="B3840">
        <v>2.8370000000000001E-4</v>
      </c>
    </row>
    <row r="3841" spans="1:2" x14ac:dyDescent="0.25">
      <c r="A3841" s="6">
        <v>41386</v>
      </c>
      <c r="B3841">
        <v>2.8332999999999999E-4</v>
      </c>
    </row>
    <row r="3842" spans="1:2" x14ac:dyDescent="0.25">
      <c r="A3842" s="6">
        <v>41387</v>
      </c>
      <c r="B3842">
        <v>2.8332999999999999E-4</v>
      </c>
    </row>
    <row r="3843" spans="1:2" x14ac:dyDescent="0.25">
      <c r="A3843" s="6">
        <v>41388</v>
      </c>
      <c r="B3843">
        <v>2.8332999999999999E-4</v>
      </c>
    </row>
    <row r="3844" spans="1:2" x14ac:dyDescent="0.25">
      <c r="A3844" s="6">
        <v>41389</v>
      </c>
      <c r="B3844">
        <v>2.8332999999999999E-4</v>
      </c>
    </row>
    <row r="3845" spans="1:2" x14ac:dyDescent="0.25">
      <c r="A3845" s="6">
        <v>41390</v>
      </c>
      <c r="B3845">
        <v>2.8332999999999999E-4</v>
      </c>
    </row>
    <row r="3846" spans="1:2" x14ac:dyDescent="0.25">
      <c r="A3846" s="6">
        <v>41393</v>
      </c>
      <c r="B3846">
        <v>2.8332999999999999E-4</v>
      </c>
    </row>
    <row r="3847" spans="1:2" x14ac:dyDescent="0.25">
      <c r="A3847" s="6">
        <v>41394</v>
      </c>
      <c r="B3847">
        <v>2.8332999999999999E-4</v>
      </c>
    </row>
    <row r="3848" spans="1:2" x14ac:dyDescent="0.25">
      <c r="A3848" s="6">
        <v>41396</v>
      </c>
      <c r="B3848">
        <v>2.8332999999999999E-4</v>
      </c>
    </row>
    <row r="3849" spans="1:2" x14ac:dyDescent="0.25">
      <c r="A3849" s="6">
        <v>41397</v>
      </c>
      <c r="B3849">
        <v>2.8332999999999999E-4</v>
      </c>
    </row>
    <row r="3850" spans="1:2" x14ac:dyDescent="0.25">
      <c r="A3850" s="6">
        <v>41400</v>
      </c>
      <c r="B3850">
        <v>2.8332999999999999E-4</v>
      </c>
    </row>
    <row r="3851" spans="1:2" x14ac:dyDescent="0.25">
      <c r="A3851" s="6">
        <v>41401</v>
      </c>
      <c r="B3851">
        <v>2.8332999999999999E-4</v>
      </c>
    </row>
    <row r="3852" spans="1:2" x14ac:dyDescent="0.25">
      <c r="A3852" s="6">
        <v>41402</v>
      </c>
      <c r="B3852">
        <v>2.8332999999999999E-4</v>
      </c>
    </row>
    <row r="3853" spans="1:2" x14ac:dyDescent="0.25">
      <c r="A3853" s="6">
        <v>41403</v>
      </c>
      <c r="B3853">
        <v>2.8332999999999999E-4</v>
      </c>
    </row>
    <row r="3854" spans="1:2" x14ac:dyDescent="0.25">
      <c r="A3854" s="6">
        <v>41404</v>
      </c>
      <c r="B3854">
        <v>2.8332999999999999E-4</v>
      </c>
    </row>
    <row r="3855" spans="1:2" x14ac:dyDescent="0.25">
      <c r="A3855" s="6">
        <v>41407</v>
      </c>
      <c r="B3855">
        <v>2.8332999999999999E-4</v>
      </c>
    </row>
    <row r="3856" spans="1:2" x14ac:dyDescent="0.25">
      <c r="A3856" s="6">
        <v>41408</v>
      </c>
      <c r="B3856">
        <v>2.8332999999999999E-4</v>
      </c>
    </row>
    <row r="3857" spans="1:2" x14ac:dyDescent="0.25">
      <c r="A3857" s="6">
        <v>41409</v>
      </c>
      <c r="B3857">
        <v>2.8332999999999999E-4</v>
      </c>
    </row>
    <row r="3858" spans="1:2" x14ac:dyDescent="0.25">
      <c r="A3858" s="6">
        <v>41410</v>
      </c>
      <c r="B3858">
        <v>2.8332999999999999E-4</v>
      </c>
    </row>
    <row r="3859" spans="1:2" x14ac:dyDescent="0.25">
      <c r="A3859" s="6">
        <v>41411</v>
      </c>
      <c r="B3859">
        <v>2.8332999999999999E-4</v>
      </c>
    </row>
    <row r="3860" spans="1:2" x14ac:dyDescent="0.25">
      <c r="A3860" s="6">
        <v>41414</v>
      </c>
      <c r="B3860">
        <v>2.8332999999999999E-4</v>
      </c>
    </row>
    <row r="3861" spans="1:2" x14ac:dyDescent="0.25">
      <c r="A3861" s="6">
        <v>41415</v>
      </c>
      <c r="B3861">
        <v>2.8332999999999999E-4</v>
      </c>
    </row>
    <row r="3862" spans="1:2" x14ac:dyDescent="0.25">
      <c r="A3862" s="6">
        <v>41416</v>
      </c>
      <c r="B3862">
        <v>2.8332999999999999E-4</v>
      </c>
    </row>
    <row r="3863" spans="1:2" x14ac:dyDescent="0.25">
      <c r="A3863" s="6">
        <v>41417</v>
      </c>
      <c r="B3863">
        <v>2.8332999999999999E-4</v>
      </c>
    </row>
    <row r="3864" spans="1:2" x14ac:dyDescent="0.25">
      <c r="A3864" s="6">
        <v>41418</v>
      </c>
      <c r="B3864">
        <v>2.8332999999999999E-4</v>
      </c>
    </row>
    <row r="3865" spans="1:2" x14ac:dyDescent="0.25">
      <c r="A3865" s="6">
        <v>41421</v>
      </c>
      <c r="B3865">
        <v>2.8332999999999999E-4</v>
      </c>
    </row>
    <row r="3866" spans="1:2" x14ac:dyDescent="0.25">
      <c r="A3866" s="6">
        <v>41422</v>
      </c>
      <c r="B3866">
        <v>2.8332999999999999E-4</v>
      </c>
    </row>
    <row r="3867" spans="1:2" x14ac:dyDescent="0.25">
      <c r="A3867" s="6">
        <v>41423</v>
      </c>
      <c r="B3867">
        <v>2.8332999999999999E-4</v>
      </c>
    </row>
    <row r="3868" spans="1:2" x14ac:dyDescent="0.25">
      <c r="A3868" s="6">
        <v>41425</v>
      </c>
      <c r="B3868">
        <v>3.0176999999999998E-4</v>
      </c>
    </row>
    <row r="3869" spans="1:2" x14ac:dyDescent="0.25">
      <c r="A3869" s="6">
        <v>41428</v>
      </c>
      <c r="B3869">
        <v>3.0176999999999998E-4</v>
      </c>
    </row>
    <row r="3870" spans="1:2" x14ac:dyDescent="0.25">
      <c r="A3870" s="6">
        <v>41429</v>
      </c>
      <c r="B3870">
        <v>3.0176999999999998E-4</v>
      </c>
    </row>
    <row r="3871" spans="1:2" x14ac:dyDescent="0.25">
      <c r="A3871" s="6">
        <v>41430</v>
      </c>
      <c r="B3871">
        <v>3.0176999999999998E-4</v>
      </c>
    </row>
    <row r="3872" spans="1:2" x14ac:dyDescent="0.25">
      <c r="A3872" s="6">
        <v>41431</v>
      </c>
      <c r="B3872">
        <v>3.0176999999999998E-4</v>
      </c>
    </row>
    <row r="3873" spans="1:2" x14ac:dyDescent="0.25">
      <c r="A3873" s="6">
        <v>41432</v>
      </c>
      <c r="B3873">
        <v>3.0176999999999998E-4</v>
      </c>
    </row>
    <row r="3874" spans="1:2" x14ac:dyDescent="0.25">
      <c r="A3874" s="6">
        <v>41435</v>
      </c>
      <c r="B3874">
        <v>3.0176999999999998E-4</v>
      </c>
    </row>
    <row r="3875" spans="1:2" x14ac:dyDescent="0.25">
      <c r="A3875" s="6">
        <v>41436</v>
      </c>
      <c r="B3875">
        <v>3.0176999999999998E-4</v>
      </c>
    </row>
    <row r="3876" spans="1:2" x14ac:dyDescent="0.25">
      <c r="A3876" s="6">
        <v>41437</v>
      </c>
      <c r="B3876">
        <v>3.0176999999999998E-4</v>
      </c>
    </row>
    <row r="3877" spans="1:2" x14ac:dyDescent="0.25">
      <c r="A3877" s="6">
        <v>41438</v>
      </c>
      <c r="B3877">
        <v>3.0176999999999998E-4</v>
      </c>
    </row>
    <row r="3878" spans="1:2" x14ac:dyDescent="0.25">
      <c r="A3878" s="6">
        <v>41439</v>
      </c>
      <c r="B3878">
        <v>3.0176999999999998E-4</v>
      </c>
    </row>
    <row r="3879" spans="1:2" x14ac:dyDescent="0.25">
      <c r="A3879" s="6">
        <v>41442</v>
      </c>
      <c r="B3879">
        <v>3.0176999999999998E-4</v>
      </c>
    </row>
    <row r="3880" spans="1:2" x14ac:dyDescent="0.25">
      <c r="A3880" s="6">
        <v>41443</v>
      </c>
      <c r="B3880">
        <v>3.0176999999999998E-4</v>
      </c>
    </row>
    <row r="3881" spans="1:2" x14ac:dyDescent="0.25">
      <c r="A3881" s="6">
        <v>41444</v>
      </c>
      <c r="B3881">
        <v>3.0176999999999998E-4</v>
      </c>
    </row>
    <row r="3882" spans="1:2" x14ac:dyDescent="0.25">
      <c r="A3882" s="6">
        <v>41445</v>
      </c>
      <c r="B3882">
        <v>3.0176999999999998E-4</v>
      </c>
    </row>
    <row r="3883" spans="1:2" x14ac:dyDescent="0.25">
      <c r="A3883" s="6">
        <v>41446</v>
      </c>
      <c r="B3883">
        <v>3.0176999999999998E-4</v>
      </c>
    </row>
    <row r="3884" spans="1:2" x14ac:dyDescent="0.25">
      <c r="A3884" s="6">
        <v>41449</v>
      </c>
      <c r="B3884">
        <v>3.0176999999999998E-4</v>
      </c>
    </row>
    <row r="3885" spans="1:2" x14ac:dyDescent="0.25">
      <c r="A3885" s="6">
        <v>41450</v>
      </c>
      <c r="B3885">
        <v>3.0176999999999998E-4</v>
      </c>
    </row>
    <row r="3886" spans="1:2" x14ac:dyDescent="0.25">
      <c r="A3886" s="6">
        <v>41451</v>
      </c>
      <c r="B3886">
        <v>3.0176999999999998E-4</v>
      </c>
    </row>
    <row r="3887" spans="1:2" x14ac:dyDescent="0.25">
      <c r="A3887" s="6">
        <v>41452</v>
      </c>
      <c r="B3887">
        <v>3.0176999999999998E-4</v>
      </c>
    </row>
    <row r="3888" spans="1:2" x14ac:dyDescent="0.25">
      <c r="A3888" s="6">
        <v>41453</v>
      </c>
      <c r="B3888">
        <v>3.0176999999999998E-4</v>
      </c>
    </row>
    <row r="3889" spans="1:2" x14ac:dyDescent="0.25">
      <c r="A3889" s="6">
        <v>41456</v>
      </c>
      <c r="B3889">
        <v>3.0176999999999998E-4</v>
      </c>
    </row>
    <row r="3890" spans="1:2" x14ac:dyDescent="0.25">
      <c r="A3890" s="6">
        <v>41457</v>
      </c>
      <c r="B3890">
        <v>3.0176999999999998E-4</v>
      </c>
    </row>
    <row r="3891" spans="1:2" x14ac:dyDescent="0.25">
      <c r="A3891" s="6">
        <v>41458</v>
      </c>
      <c r="B3891">
        <v>3.0176999999999998E-4</v>
      </c>
    </row>
    <row r="3892" spans="1:2" x14ac:dyDescent="0.25">
      <c r="A3892" s="6">
        <v>41459</v>
      </c>
      <c r="B3892">
        <v>3.0176999999999998E-4</v>
      </c>
    </row>
    <row r="3893" spans="1:2" x14ac:dyDescent="0.25">
      <c r="A3893" s="6">
        <v>41460</v>
      </c>
      <c r="B3893">
        <v>3.0176999999999998E-4</v>
      </c>
    </row>
    <row r="3894" spans="1:2" x14ac:dyDescent="0.25">
      <c r="A3894" s="6">
        <v>41463</v>
      </c>
      <c r="B3894">
        <v>3.0176999999999998E-4</v>
      </c>
    </row>
    <row r="3895" spans="1:2" x14ac:dyDescent="0.25">
      <c r="A3895" s="6">
        <v>41464</v>
      </c>
      <c r="B3895">
        <v>3.0176999999999998E-4</v>
      </c>
    </row>
    <row r="3896" spans="1:2" x14ac:dyDescent="0.25">
      <c r="A3896" s="6">
        <v>41465</v>
      </c>
      <c r="B3896">
        <v>3.0176999999999998E-4</v>
      </c>
    </row>
    <row r="3897" spans="1:2" x14ac:dyDescent="0.25">
      <c r="A3897" s="6">
        <v>41466</v>
      </c>
      <c r="B3897">
        <v>3.2011999999999996E-4</v>
      </c>
    </row>
    <row r="3898" spans="1:2" x14ac:dyDescent="0.25">
      <c r="A3898" s="6">
        <v>41467</v>
      </c>
      <c r="B3898">
        <v>3.2011999999999996E-4</v>
      </c>
    </row>
    <row r="3899" spans="1:2" x14ac:dyDescent="0.25">
      <c r="A3899" s="6">
        <v>41470</v>
      </c>
      <c r="B3899">
        <v>3.2011999999999996E-4</v>
      </c>
    </row>
    <row r="3900" spans="1:2" x14ac:dyDescent="0.25">
      <c r="A3900" s="6">
        <v>41471</v>
      </c>
      <c r="B3900">
        <v>3.2011999999999996E-4</v>
      </c>
    </row>
    <row r="3901" spans="1:2" x14ac:dyDescent="0.25">
      <c r="A3901" s="6">
        <v>41472</v>
      </c>
      <c r="B3901">
        <v>3.2011999999999996E-4</v>
      </c>
    </row>
    <row r="3902" spans="1:2" x14ac:dyDescent="0.25">
      <c r="A3902" s="6">
        <v>41473</v>
      </c>
      <c r="B3902">
        <v>3.2011999999999996E-4</v>
      </c>
    </row>
    <row r="3903" spans="1:2" x14ac:dyDescent="0.25">
      <c r="A3903" s="6">
        <v>41474</v>
      </c>
      <c r="B3903">
        <v>3.2011999999999996E-4</v>
      </c>
    </row>
    <row r="3904" spans="1:2" x14ac:dyDescent="0.25">
      <c r="A3904" s="6">
        <v>41477</v>
      </c>
      <c r="B3904">
        <v>3.2011999999999996E-4</v>
      </c>
    </row>
    <row r="3905" spans="1:2" x14ac:dyDescent="0.25">
      <c r="A3905" s="6">
        <v>41478</v>
      </c>
      <c r="B3905">
        <v>3.2011999999999996E-4</v>
      </c>
    </row>
    <row r="3906" spans="1:2" x14ac:dyDescent="0.25">
      <c r="A3906" s="6">
        <v>41479</v>
      </c>
      <c r="B3906">
        <v>3.2011999999999996E-4</v>
      </c>
    </row>
    <row r="3907" spans="1:2" x14ac:dyDescent="0.25">
      <c r="A3907" s="6">
        <v>41480</v>
      </c>
      <c r="B3907">
        <v>3.2011999999999996E-4</v>
      </c>
    </row>
    <row r="3908" spans="1:2" x14ac:dyDescent="0.25">
      <c r="A3908" s="6">
        <v>41481</v>
      </c>
      <c r="B3908">
        <v>3.2011999999999996E-4</v>
      </c>
    </row>
    <row r="3909" spans="1:2" x14ac:dyDescent="0.25">
      <c r="A3909" s="6">
        <v>41484</v>
      </c>
      <c r="B3909">
        <v>3.2011999999999996E-4</v>
      </c>
    </row>
    <row r="3910" spans="1:2" x14ac:dyDescent="0.25">
      <c r="A3910" s="6">
        <v>41485</v>
      </c>
      <c r="B3910">
        <v>3.2011999999999996E-4</v>
      </c>
    </row>
    <row r="3911" spans="1:2" x14ac:dyDescent="0.25">
      <c r="A3911" s="6">
        <v>41486</v>
      </c>
      <c r="B3911">
        <v>3.2011999999999996E-4</v>
      </c>
    </row>
    <row r="3912" spans="1:2" x14ac:dyDescent="0.25">
      <c r="A3912" s="6">
        <v>41487</v>
      </c>
      <c r="B3912">
        <v>3.2011999999999996E-4</v>
      </c>
    </row>
    <row r="3913" spans="1:2" x14ac:dyDescent="0.25">
      <c r="A3913" s="6">
        <v>41488</v>
      </c>
      <c r="B3913">
        <v>3.2011999999999996E-4</v>
      </c>
    </row>
    <row r="3914" spans="1:2" x14ac:dyDescent="0.25">
      <c r="A3914" s="6">
        <v>41491</v>
      </c>
      <c r="B3914">
        <v>3.2011999999999996E-4</v>
      </c>
    </row>
    <row r="3915" spans="1:2" x14ac:dyDescent="0.25">
      <c r="A3915" s="6">
        <v>41492</v>
      </c>
      <c r="B3915">
        <v>3.2011999999999996E-4</v>
      </c>
    </row>
    <row r="3916" spans="1:2" x14ac:dyDescent="0.25">
      <c r="A3916" s="6">
        <v>41493</v>
      </c>
      <c r="B3916">
        <v>3.2011999999999996E-4</v>
      </c>
    </row>
    <row r="3917" spans="1:2" x14ac:dyDescent="0.25">
      <c r="A3917" s="6">
        <v>41494</v>
      </c>
      <c r="B3917">
        <v>3.2011999999999996E-4</v>
      </c>
    </row>
    <row r="3918" spans="1:2" x14ac:dyDescent="0.25">
      <c r="A3918" s="6">
        <v>41495</v>
      </c>
      <c r="B3918">
        <v>3.2011999999999996E-4</v>
      </c>
    </row>
    <row r="3919" spans="1:2" x14ac:dyDescent="0.25">
      <c r="A3919" s="6">
        <v>41498</v>
      </c>
      <c r="B3919">
        <v>3.2011999999999996E-4</v>
      </c>
    </row>
    <row r="3920" spans="1:2" x14ac:dyDescent="0.25">
      <c r="A3920" s="6">
        <v>41499</v>
      </c>
      <c r="B3920">
        <v>3.2011999999999996E-4</v>
      </c>
    </row>
    <row r="3921" spans="1:2" x14ac:dyDescent="0.25">
      <c r="A3921" s="6">
        <v>41500</v>
      </c>
      <c r="B3921">
        <v>3.2011999999999996E-4</v>
      </c>
    </row>
    <row r="3922" spans="1:2" x14ac:dyDescent="0.25">
      <c r="A3922" s="6">
        <v>41501</v>
      </c>
      <c r="B3922">
        <v>3.2011999999999996E-4</v>
      </c>
    </row>
    <row r="3923" spans="1:2" x14ac:dyDescent="0.25">
      <c r="A3923" s="6">
        <v>41502</v>
      </c>
      <c r="B3923">
        <v>3.2011999999999996E-4</v>
      </c>
    </row>
    <row r="3924" spans="1:2" x14ac:dyDescent="0.25">
      <c r="A3924" s="6">
        <v>41505</v>
      </c>
      <c r="B3924">
        <v>3.2011999999999996E-4</v>
      </c>
    </row>
    <row r="3925" spans="1:2" x14ac:dyDescent="0.25">
      <c r="A3925" s="6">
        <v>41506</v>
      </c>
      <c r="B3925">
        <v>3.2011999999999996E-4</v>
      </c>
    </row>
    <row r="3926" spans="1:2" x14ac:dyDescent="0.25">
      <c r="A3926" s="6">
        <v>41507</v>
      </c>
      <c r="B3926">
        <v>3.2011999999999996E-4</v>
      </c>
    </row>
    <row r="3927" spans="1:2" x14ac:dyDescent="0.25">
      <c r="A3927" s="6">
        <v>41508</v>
      </c>
      <c r="B3927">
        <v>3.2011999999999996E-4</v>
      </c>
    </row>
    <row r="3928" spans="1:2" x14ac:dyDescent="0.25">
      <c r="A3928" s="6">
        <v>41509</v>
      </c>
      <c r="B3928">
        <v>3.2011999999999996E-4</v>
      </c>
    </row>
    <row r="3929" spans="1:2" x14ac:dyDescent="0.25">
      <c r="A3929" s="6">
        <v>41512</v>
      </c>
      <c r="B3929">
        <v>3.2011999999999996E-4</v>
      </c>
    </row>
    <row r="3930" spans="1:2" x14ac:dyDescent="0.25">
      <c r="A3930" s="6">
        <v>41513</v>
      </c>
      <c r="B3930">
        <v>3.2011999999999996E-4</v>
      </c>
    </row>
    <row r="3931" spans="1:2" x14ac:dyDescent="0.25">
      <c r="A3931" s="6">
        <v>41514</v>
      </c>
      <c r="B3931">
        <v>3.2011999999999996E-4</v>
      </c>
    </row>
    <row r="3932" spans="1:2" x14ac:dyDescent="0.25">
      <c r="A3932" s="6">
        <v>41515</v>
      </c>
      <c r="B3932">
        <v>3.3838999999999999E-4</v>
      </c>
    </row>
    <row r="3933" spans="1:2" x14ac:dyDescent="0.25">
      <c r="A3933" s="6">
        <v>41516</v>
      </c>
      <c r="B3933">
        <v>3.3838999999999999E-4</v>
      </c>
    </row>
    <row r="3934" spans="1:2" x14ac:dyDescent="0.25">
      <c r="A3934" s="6">
        <v>41519</v>
      </c>
      <c r="B3934">
        <v>3.3838999999999999E-4</v>
      </c>
    </row>
    <row r="3935" spans="1:2" x14ac:dyDescent="0.25">
      <c r="A3935" s="6">
        <v>41520</v>
      </c>
      <c r="B3935">
        <v>3.3838999999999999E-4</v>
      </c>
    </row>
    <row r="3936" spans="1:2" x14ac:dyDescent="0.25">
      <c r="A3936" s="6">
        <v>41521</v>
      </c>
      <c r="B3936">
        <v>3.3838999999999999E-4</v>
      </c>
    </row>
    <row r="3937" spans="1:2" x14ac:dyDescent="0.25">
      <c r="A3937" s="6">
        <v>41522</v>
      </c>
      <c r="B3937">
        <v>3.3838999999999999E-4</v>
      </c>
    </row>
    <row r="3938" spans="1:2" x14ac:dyDescent="0.25">
      <c r="A3938" s="6">
        <v>41523</v>
      </c>
      <c r="B3938">
        <v>3.3838999999999999E-4</v>
      </c>
    </row>
    <row r="3939" spans="1:2" x14ac:dyDescent="0.25">
      <c r="A3939" s="6">
        <v>41526</v>
      </c>
      <c r="B3939">
        <v>3.3838999999999999E-4</v>
      </c>
    </row>
    <row r="3940" spans="1:2" x14ac:dyDescent="0.25">
      <c r="A3940" s="6">
        <v>41527</v>
      </c>
      <c r="B3940">
        <v>3.3838999999999999E-4</v>
      </c>
    </row>
    <row r="3941" spans="1:2" x14ac:dyDescent="0.25">
      <c r="A3941" s="6">
        <v>41528</v>
      </c>
      <c r="B3941">
        <v>3.3838999999999999E-4</v>
      </c>
    </row>
    <row r="3942" spans="1:2" x14ac:dyDescent="0.25">
      <c r="A3942" s="6">
        <v>41529</v>
      </c>
      <c r="B3942">
        <v>3.3838999999999999E-4</v>
      </c>
    </row>
    <row r="3943" spans="1:2" x14ac:dyDescent="0.25">
      <c r="A3943" s="6">
        <v>41530</v>
      </c>
      <c r="B3943">
        <v>3.3838999999999999E-4</v>
      </c>
    </row>
    <row r="3944" spans="1:2" x14ac:dyDescent="0.25">
      <c r="A3944" s="6">
        <v>41533</v>
      </c>
      <c r="B3944">
        <v>3.3838999999999999E-4</v>
      </c>
    </row>
    <row r="3945" spans="1:2" x14ac:dyDescent="0.25">
      <c r="A3945" s="6">
        <v>41534</v>
      </c>
      <c r="B3945">
        <v>3.3838999999999999E-4</v>
      </c>
    </row>
    <row r="3946" spans="1:2" x14ac:dyDescent="0.25">
      <c r="A3946" s="6">
        <v>41535</v>
      </c>
      <c r="B3946">
        <v>3.3838999999999999E-4</v>
      </c>
    </row>
    <row r="3947" spans="1:2" x14ac:dyDescent="0.25">
      <c r="A3947" s="6">
        <v>41536</v>
      </c>
      <c r="B3947">
        <v>3.3838999999999999E-4</v>
      </c>
    </row>
    <row r="3948" spans="1:2" x14ac:dyDescent="0.25">
      <c r="A3948" s="6">
        <v>41537</v>
      </c>
      <c r="B3948">
        <v>3.3838999999999999E-4</v>
      </c>
    </row>
    <row r="3949" spans="1:2" x14ac:dyDescent="0.25">
      <c r="A3949" s="6">
        <v>41540</v>
      </c>
      <c r="B3949">
        <v>3.3838999999999999E-4</v>
      </c>
    </row>
    <row r="3950" spans="1:2" x14ac:dyDescent="0.25">
      <c r="A3950" s="6">
        <v>41541</v>
      </c>
      <c r="B3950">
        <v>3.3838999999999999E-4</v>
      </c>
    </row>
    <row r="3951" spans="1:2" x14ac:dyDescent="0.25">
      <c r="A3951" s="6">
        <v>41542</v>
      </c>
      <c r="B3951">
        <v>3.3838999999999999E-4</v>
      </c>
    </row>
    <row r="3952" spans="1:2" x14ac:dyDescent="0.25">
      <c r="A3952" s="6">
        <v>41543</v>
      </c>
      <c r="B3952">
        <v>3.3838999999999999E-4</v>
      </c>
    </row>
    <row r="3953" spans="1:2" x14ac:dyDescent="0.25">
      <c r="A3953" s="6">
        <v>41544</v>
      </c>
      <c r="B3953">
        <v>3.3838999999999999E-4</v>
      </c>
    </row>
    <row r="3954" spans="1:2" x14ac:dyDescent="0.25">
      <c r="A3954" s="6">
        <v>41547</v>
      </c>
      <c r="B3954">
        <v>3.3838999999999999E-4</v>
      </c>
    </row>
    <row r="3955" spans="1:2" x14ac:dyDescent="0.25">
      <c r="A3955" s="6">
        <v>41548</v>
      </c>
      <c r="B3955">
        <v>3.3838999999999999E-4</v>
      </c>
    </row>
    <row r="3956" spans="1:2" x14ac:dyDescent="0.25">
      <c r="A3956" s="6">
        <v>41549</v>
      </c>
      <c r="B3956">
        <v>3.3838999999999999E-4</v>
      </c>
    </row>
    <row r="3957" spans="1:2" x14ac:dyDescent="0.25">
      <c r="A3957" s="6">
        <v>41550</v>
      </c>
      <c r="B3957">
        <v>3.3838999999999999E-4</v>
      </c>
    </row>
    <row r="3958" spans="1:2" x14ac:dyDescent="0.25">
      <c r="A3958" s="6">
        <v>41551</v>
      </c>
      <c r="B3958">
        <v>3.3838999999999999E-4</v>
      </c>
    </row>
    <row r="3959" spans="1:2" x14ac:dyDescent="0.25">
      <c r="A3959" s="6">
        <v>41554</v>
      </c>
      <c r="B3959">
        <v>3.3838999999999999E-4</v>
      </c>
    </row>
    <row r="3960" spans="1:2" x14ac:dyDescent="0.25">
      <c r="A3960" s="6">
        <v>41555</v>
      </c>
      <c r="B3960">
        <v>3.3838999999999999E-4</v>
      </c>
    </row>
    <row r="3961" spans="1:2" x14ac:dyDescent="0.25">
      <c r="A3961" s="6">
        <v>41556</v>
      </c>
      <c r="B3961">
        <v>3.3838999999999999E-4</v>
      </c>
    </row>
    <row r="3962" spans="1:2" x14ac:dyDescent="0.25">
      <c r="A3962" s="6">
        <v>41557</v>
      </c>
      <c r="B3962">
        <v>3.5657000000000001E-4</v>
      </c>
    </row>
    <row r="3963" spans="1:2" x14ac:dyDescent="0.25">
      <c r="A3963" s="6">
        <v>41558</v>
      </c>
      <c r="B3963">
        <v>3.5657000000000001E-4</v>
      </c>
    </row>
    <row r="3964" spans="1:2" x14ac:dyDescent="0.25">
      <c r="A3964" s="6">
        <v>41561</v>
      </c>
      <c r="B3964">
        <v>3.5657000000000001E-4</v>
      </c>
    </row>
    <row r="3965" spans="1:2" x14ac:dyDescent="0.25">
      <c r="A3965" s="6">
        <v>41562</v>
      </c>
      <c r="B3965">
        <v>3.5657000000000001E-4</v>
      </c>
    </row>
    <row r="3966" spans="1:2" x14ac:dyDescent="0.25">
      <c r="A3966" s="6">
        <v>41563</v>
      </c>
      <c r="B3966">
        <v>3.5657000000000001E-4</v>
      </c>
    </row>
    <row r="3967" spans="1:2" x14ac:dyDescent="0.25">
      <c r="A3967" s="6">
        <v>41564</v>
      </c>
      <c r="B3967">
        <v>3.5657000000000001E-4</v>
      </c>
    </row>
    <row r="3968" spans="1:2" x14ac:dyDescent="0.25">
      <c r="A3968" s="6">
        <v>41565</v>
      </c>
      <c r="B3968">
        <v>3.5657000000000001E-4</v>
      </c>
    </row>
    <row r="3969" spans="1:2" x14ac:dyDescent="0.25">
      <c r="A3969" s="6">
        <v>41568</v>
      </c>
      <c r="B3969">
        <v>3.5657000000000001E-4</v>
      </c>
    </row>
    <row r="3970" spans="1:2" x14ac:dyDescent="0.25">
      <c r="A3970" s="6">
        <v>41569</v>
      </c>
      <c r="B3970">
        <v>3.5657000000000001E-4</v>
      </c>
    </row>
    <row r="3971" spans="1:2" x14ac:dyDescent="0.25">
      <c r="A3971" s="6">
        <v>41570</v>
      </c>
      <c r="B3971">
        <v>3.5657000000000001E-4</v>
      </c>
    </row>
    <row r="3972" spans="1:2" x14ac:dyDescent="0.25">
      <c r="A3972" s="6">
        <v>41571</v>
      </c>
      <c r="B3972">
        <v>3.5657000000000001E-4</v>
      </c>
    </row>
    <row r="3973" spans="1:2" x14ac:dyDescent="0.25">
      <c r="A3973" s="6">
        <v>41572</v>
      </c>
      <c r="B3973">
        <v>3.5657000000000001E-4</v>
      </c>
    </row>
    <row r="3974" spans="1:2" x14ac:dyDescent="0.25">
      <c r="A3974" s="6">
        <v>41575</v>
      </c>
      <c r="B3974">
        <v>3.5657000000000001E-4</v>
      </c>
    </row>
    <row r="3975" spans="1:2" x14ac:dyDescent="0.25">
      <c r="A3975" s="6">
        <v>41576</v>
      </c>
      <c r="B3975">
        <v>3.5657000000000001E-4</v>
      </c>
    </row>
    <row r="3976" spans="1:2" x14ac:dyDescent="0.25">
      <c r="A3976" s="6">
        <v>41577</v>
      </c>
      <c r="B3976">
        <v>3.5657000000000001E-4</v>
      </c>
    </row>
    <row r="3977" spans="1:2" x14ac:dyDescent="0.25">
      <c r="A3977" s="6">
        <v>41578</v>
      </c>
      <c r="B3977">
        <v>3.5657000000000001E-4</v>
      </c>
    </row>
    <row r="3978" spans="1:2" x14ac:dyDescent="0.25">
      <c r="A3978" s="6">
        <v>41579</v>
      </c>
      <c r="B3978">
        <v>3.5657000000000001E-4</v>
      </c>
    </row>
    <row r="3979" spans="1:2" x14ac:dyDescent="0.25">
      <c r="A3979" s="6">
        <v>41582</v>
      </c>
      <c r="B3979">
        <v>3.5657000000000001E-4</v>
      </c>
    </row>
    <row r="3980" spans="1:2" x14ac:dyDescent="0.25">
      <c r="A3980" s="6">
        <v>41583</v>
      </c>
      <c r="B3980">
        <v>3.5657000000000001E-4</v>
      </c>
    </row>
    <row r="3981" spans="1:2" x14ac:dyDescent="0.25">
      <c r="A3981" s="6">
        <v>41584</v>
      </c>
      <c r="B3981">
        <v>3.5657000000000001E-4</v>
      </c>
    </row>
    <row r="3982" spans="1:2" x14ac:dyDescent="0.25">
      <c r="A3982" s="6">
        <v>41585</v>
      </c>
      <c r="B3982">
        <v>3.5657000000000001E-4</v>
      </c>
    </row>
    <row r="3983" spans="1:2" x14ac:dyDescent="0.25">
      <c r="A3983" s="6">
        <v>41586</v>
      </c>
      <c r="B3983">
        <v>3.5657000000000001E-4</v>
      </c>
    </row>
    <row r="3984" spans="1:2" x14ac:dyDescent="0.25">
      <c r="A3984" s="6">
        <v>41589</v>
      </c>
      <c r="B3984">
        <v>3.5657000000000001E-4</v>
      </c>
    </row>
    <row r="3985" spans="1:2" x14ac:dyDescent="0.25">
      <c r="A3985" s="6">
        <v>41590</v>
      </c>
      <c r="B3985">
        <v>3.5657000000000001E-4</v>
      </c>
    </row>
    <row r="3986" spans="1:2" x14ac:dyDescent="0.25">
      <c r="A3986" s="6">
        <v>41591</v>
      </c>
      <c r="B3986">
        <v>3.5657000000000001E-4</v>
      </c>
    </row>
    <row r="3987" spans="1:2" x14ac:dyDescent="0.25">
      <c r="A3987" s="6">
        <v>41592</v>
      </c>
      <c r="B3987">
        <v>3.5657000000000001E-4</v>
      </c>
    </row>
    <row r="3988" spans="1:2" x14ac:dyDescent="0.25">
      <c r="A3988" s="6">
        <v>41596</v>
      </c>
      <c r="B3988">
        <v>3.5657000000000001E-4</v>
      </c>
    </row>
    <row r="3989" spans="1:2" x14ac:dyDescent="0.25">
      <c r="A3989" s="6">
        <v>41597</v>
      </c>
      <c r="B3989">
        <v>3.5657000000000001E-4</v>
      </c>
    </row>
    <row r="3990" spans="1:2" x14ac:dyDescent="0.25">
      <c r="A3990" s="6">
        <v>41598</v>
      </c>
      <c r="B3990">
        <v>3.5657000000000001E-4</v>
      </c>
    </row>
    <row r="3991" spans="1:2" x14ac:dyDescent="0.25">
      <c r="A3991" s="6">
        <v>41599</v>
      </c>
      <c r="B3991">
        <v>3.5657000000000001E-4</v>
      </c>
    </row>
    <row r="3992" spans="1:2" x14ac:dyDescent="0.25">
      <c r="A3992" s="6">
        <v>41600</v>
      </c>
      <c r="B3992">
        <v>3.5657000000000001E-4</v>
      </c>
    </row>
    <row r="3993" spans="1:2" x14ac:dyDescent="0.25">
      <c r="A3993" s="6">
        <v>41603</v>
      </c>
      <c r="B3993">
        <v>3.5657000000000001E-4</v>
      </c>
    </row>
    <row r="3994" spans="1:2" x14ac:dyDescent="0.25">
      <c r="A3994" s="6">
        <v>41604</v>
      </c>
      <c r="B3994">
        <v>3.5657000000000001E-4</v>
      </c>
    </row>
    <row r="3995" spans="1:2" x14ac:dyDescent="0.25">
      <c r="A3995" s="6">
        <v>41605</v>
      </c>
      <c r="B3995">
        <v>3.5657000000000001E-4</v>
      </c>
    </row>
    <row r="3996" spans="1:2" x14ac:dyDescent="0.25">
      <c r="A3996" s="6">
        <v>41606</v>
      </c>
      <c r="B3996">
        <v>3.7468000000000001E-4</v>
      </c>
    </row>
    <row r="3997" spans="1:2" x14ac:dyDescent="0.25">
      <c r="A3997" s="6">
        <v>41607</v>
      </c>
      <c r="B3997">
        <v>3.7468000000000001E-4</v>
      </c>
    </row>
    <row r="3998" spans="1:2" x14ac:dyDescent="0.25">
      <c r="A3998" s="6">
        <v>41610</v>
      </c>
      <c r="B3998">
        <v>3.7468000000000001E-4</v>
      </c>
    </row>
    <row r="3999" spans="1:2" x14ac:dyDescent="0.25">
      <c r="A3999" s="6">
        <v>41611</v>
      </c>
      <c r="B3999">
        <v>3.7468000000000001E-4</v>
      </c>
    </row>
    <row r="4000" spans="1:2" x14ac:dyDescent="0.25">
      <c r="A4000" s="6">
        <v>41612</v>
      </c>
      <c r="B4000">
        <v>3.7468000000000001E-4</v>
      </c>
    </row>
    <row r="4001" spans="1:2" x14ac:dyDescent="0.25">
      <c r="A4001" s="6">
        <v>41613</v>
      </c>
      <c r="B4001">
        <v>3.7468000000000001E-4</v>
      </c>
    </row>
    <row r="4002" spans="1:2" x14ac:dyDescent="0.25">
      <c r="A4002" s="6">
        <v>41614</v>
      </c>
      <c r="B4002">
        <v>3.7430999999999999E-4</v>
      </c>
    </row>
    <row r="4003" spans="1:2" x14ac:dyDescent="0.25">
      <c r="A4003" s="6">
        <v>41617</v>
      </c>
      <c r="B4003">
        <v>3.7468000000000001E-4</v>
      </c>
    </row>
    <row r="4004" spans="1:2" x14ac:dyDescent="0.25">
      <c r="A4004" s="6">
        <v>41618</v>
      </c>
      <c r="B4004">
        <v>3.7468000000000001E-4</v>
      </c>
    </row>
    <row r="4005" spans="1:2" x14ac:dyDescent="0.25">
      <c r="A4005" s="6">
        <v>41619</v>
      </c>
      <c r="B4005">
        <v>3.7468000000000001E-4</v>
      </c>
    </row>
    <row r="4006" spans="1:2" x14ac:dyDescent="0.25">
      <c r="A4006" s="6">
        <v>41620</v>
      </c>
      <c r="B4006">
        <v>3.7468000000000001E-4</v>
      </c>
    </row>
    <row r="4007" spans="1:2" x14ac:dyDescent="0.25">
      <c r="A4007" s="6">
        <v>41621</v>
      </c>
      <c r="B4007">
        <v>3.7468000000000001E-4</v>
      </c>
    </row>
    <row r="4008" spans="1:2" x14ac:dyDescent="0.25">
      <c r="A4008" s="6">
        <v>41624</v>
      </c>
      <c r="B4008">
        <v>3.7468000000000001E-4</v>
      </c>
    </row>
    <row r="4009" spans="1:2" x14ac:dyDescent="0.25">
      <c r="A4009" s="6">
        <v>41625</v>
      </c>
      <c r="B4009">
        <v>3.7468000000000001E-4</v>
      </c>
    </row>
    <row r="4010" spans="1:2" x14ac:dyDescent="0.25">
      <c r="A4010" s="6">
        <v>41626</v>
      </c>
      <c r="B4010">
        <v>3.7468000000000001E-4</v>
      </c>
    </row>
    <row r="4011" spans="1:2" x14ac:dyDescent="0.25">
      <c r="A4011" s="6">
        <v>41627</v>
      </c>
      <c r="B4011">
        <v>3.7468000000000001E-4</v>
      </c>
    </row>
    <row r="4012" spans="1:2" x14ac:dyDescent="0.25">
      <c r="A4012" s="6">
        <v>41628</v>
      </c>
      <c r="B4012">
        <v>3.7468000000000001E-4</v>
      </c>
    </row>
    <row r="4013" spans="1:2" x14ac:dyDescent="0.25">
      <c r="A4013" s="6">
        <v>41631</v>
      </c>
      <c r="B4013">
        <v>3.7468000000000001E-4</v>
      </c>
    </row>
    <row r="4014" spans="1:2" x14ac:dyDescent="0.25">
      <c r="A4014" s="6">
        <v>41632</v>
      </c>
      <c r="B4014">
        <v>3.7468000000000001E-4</v>
      </c>
    </row>
    <row r="4015" spans="1:2" x14ac:dyDescent="0.25">
      <c r="A4015" s="6">
        <v>41634</v>
      </c>
      <c r="B4015">
        <v>3.7468000000000001E-4</v>
      </c>
    </row>
    <row r="4016" spans="1:2" x14ac:dyDescent="0.25">
      <c r="A4016" s="6">
        <v>41635</v>
      </c>
      <c r="B4016">
        <v>3.7468000000000001E-4</v>
      </c>
    </row>
    <row r="4017" spans="1:2" x14ac:dyDescent="0.25">
      <c r="A4017" s="6">
        <v>41638</v>
      </c>
      <c r="B4017">
        <v>3.7468000000000001E-4</v>
      </c>
    </row>
    <row r="4018" spans="1:2" x14ac:dyDescent="0.25">
      <c r="A4018" s="6">
        <v>41639</v>
      </c>
      <c r="B4018">
        <v>3.7468000000000001E-4</v>
      </c>
    </row>
    <row r="4019" spans="1:2" x14ac:dyDescent="0.25">
      <c r="A4019" s="6">
        <v>41641</v>
      </c>
      <c r="B4019">
        <v>3.7468000000000001E-4</v>
      </c>
    </row>
    <row r="4020" spans="1:2" x14ac:dyDescent="0.25">
      <c r="A4020" s="6">
        <v>41642</v>
      </c>
      <c r="B4020">
        <v>3.7468000000000001E-4</v>
      </c>
    </row>
    <row r="4021" spans="1:2" x14ac:dyDescent="0.25">
      <c r="A4021" s="6">
        <v>41645</v>
      </c>
      <c r="B4021">
        <v>3.7468000000000001E-4</v>
      </c>
    </row>
    <row r="4022" spans="1:2" x14ac:dyDescent="0.25">
      <c r="A4022" s="6">
        <v>41646</v>
      </c>
      <c r="B4022">
        <v>3.7468000000000001E-4</v>
      </c>
    </row>
    <row r="4023" spans="1:2" x14ac:dyDescent="0.25">
      <c r="A4023" s="6">
        <v>41647</v>
      </c>
      <c r="B4023">
        <v>3.7468000000000001E-4</v>
      </c>
    </row>
    <row r="4024" spans="1:2" x14ac:dyDescent="0.25">
      <c r="A4024" s="6">
        <v>41648</v>
      </c>
      <c r="B4024">
        <v>3.7468000000000001E-4</v>
      </c>
    </row>
    <row r="4025" spans="1:2" x14ac:dyDescent="0.25">
      <c r="A4025" s="6">
        <v>41649</v>
      </c>
      <c r="B4025">
        <v>3.7468000000000001E-4</v>
      </c>
    </row>
    <row r="4026" spans="1:2" x14ac:dyDescent="0.25">
      <c r="A4026" s="6">
        <v>41652</v>
      </c>
      <c r="B4026">
        <v>3.7468000000000001E-4</v>
      </c>
    </row>
    <row r="4027" spans="1:2" x14ac:dyDescent="0.25">
      <c r="A4027" s="6">
        <v>41653</v>
      </c>
      <c r="B4027">
        <v>3.7468000000000001E-4</v>
      </c>
    </row>
    <row r="4028" spans="1:2" x14ac:dyDescent="0.25">
      <c r="A4028" s="6">
        <v>41654</v>
      </c>
      <c r="B4028">
        <v>3.7468000000000001E-4</v>
      </c>
    </row>
    <row r="4029" spans="1:2" x14ac:dyDescent="0.25">
      <c r="A4029" s="6">
        <v>41655</v>
      </c>
      <c r="B4029">
        <v>3.927E-4</v>
      </c>
    </row>
    <row r="4030" spans="1:2" x14ac:dyDescent="0.25">
      <c r="A4030" s="6">
        <v>41656</v>
      </c>
      <c r="B4030">
        <v>3.927E-4</v>
      </c>
    </row>
    <row r="4031" spans="1:2" x14ac:dyDescent="0.25">
      <c r="A4031" s="6">
        <v>41659</v>
      </c>
      <c r="B4031">
        <v>3.927E-4</v>
      </c>
    </row>
    <row r="4032" spans="1:2" x14ac:dyDescent="0.25">
      <c r="A4032" s="6">
        <v>41660</v>
      </c>
      <c r="B4032">
        <v>3.927E-4</v>
      </c>
    </row>
    <row r="4033" spans="1:2" x14ac:dyDescent="0.25">
      <c r="A4033" s="6">
        <v>41661</v>
      </c>
      <c r="B4033">
        <v>3.927E-4</v>
      </c>
    </row>
    <row r="4034" spans="1:2" x14ac:dyDescent="0.25">
      <c r="A4034" s="6">
        <v>41662</v>
      </c>
      <c r="B4034">
        <v>3.927E-4</v>
      </c>
    </row>
    <row r="4035" spans="1:2" x14ac:dyDescent="0.25">
      <c r="A4035" s="6">
        <v>41663</v>
      </c>
      <c r="B4035">
        <v>3.927E-4</v>
      </c>
    </row>
    <row r="4036" spans="1:2" x14ac:dyDescent="0.25">
      <c r="A4036" s="6">
        <v>41666</v>
      </c>
      <c r="B4036">
        <v>3.927E-4</v>
      </c>
    </row>
    <row r="4037" spans="1:2" x14ac:dyDescent="0.25">
      <c r="A4037" s="6">
        <v>41667</v>
      </c>
      <c r="B4037">
        <v>3.927E-4</v>
      </c>
    </row>
    <row r="4038" spans="1:2" x14ac:dyDescent="0.25">
      <c r="A4038" s="6">
        <v>41668</v>
      </c>
      <c r="B4038">
        <v>3.927E-4</v>
      </c>
    </row>
    <row r="4039" spans="1:2" x14ac:dyDescent="0.25">
      <c r="A4039" s="6">
        <v>41669</v>
      </c>
      <c r="B4039">
        <v>3.927E-4</v>
      </c>
    </row>
    <row r="4040" spans="1:2" x14ac:dyDescent="0.25">
      <c r="A4040" s="6">
        <v>41670</v>
      </c>
      <c r="B4040">
        <v>3.927E-4</v>
      </c>
    </row>
    <row r="4041" spans="1:2" x14ac:dyDescent="0.25">
      <c r="A4041" s="6">
        <v>41673</v>
      </c>
      <c r="B4041">
        <v>3.927E-4</v>
      </c>
    </row>
    <row r="4042" spans="1:2" x14ac:dyDescent="0.25">
      <c r="A4042" s="6">
        <v>41674</v>
      </c>
      <c r="B4042">
        <v>3.927E-4</v>
      </c>
    </row>
    <row r="4043" spans="1:2" x14ac:dyDescent="0.25">
      <c r="A4043" s="6">
        <v>41675</v>
      </c>
      <c r="B4043">
        <v>3.927E-4</v>
      </c>
    </row>
    <row r="4044" spans="1:2" x14ac:dyDescent="0.25">
      <c r="A4044" s="6">
        <v>41676</v>
      </c>
      <c r="B4044">
        <v>3.927E-4</v>
      </c>
    </row>
    <row r="4045" spans="1:2" x14ac:dyDescent="0.25">
      <c r="A4045" s="6">
        <v>41677</v>
      </c>
      <c r="B4045">
        <v>3.927E-4</v>
      </c>
    </row>
    <row r="4046" spans="1:2" x14ac:dyDescent="0.25">
      <c r="A4046" s="6">
        <v>41680</v>
      </c>
      <c r="B4046">
        <v>3.927E-4</v>
      </c>
    </row>
    <row r="4047" spans="1:2" x14ac:dyDescent="0.25">
      <c r="A4047" s="6">
        <v>41681</v>
      </c>
      <c r="B4047">
        <v>3.927E-4</v>
      </c>
    </row>
    <row r="4048" spans="1:2" x14ac:dyDescent="0.25">
      <c r="A4048" s="6">
        <v>41682</v>
      </c>
      <c r="B4048">
        <v>3.927E-4</v>
      </c>
    </row>
    <row r="4049" spans="1:2" x14ac:dyDescent="0.25">
      <c r="A4049" s="6">
        <v>41683</v>
      </c>
      <c r="B4049">
        <v>3.927E-4</v>
      </c>
    </row>
    <row r="4050" spans="1:2" x14ac:dyDescent="0.25">
      <c r="A4050" s="6">
        <v>41684</v>
      </c>
      <c r="B4050">
        <v>3.927E-4</v>
      </c>
    </row>
    <row r="4051" spans="1:2" x14ac:dyDescent="0.25">
      <c r="A4051" s="6">
        <v>41687</v>
      </c>
      <c r="B4051">
        <v>3.927E-4</v>
      </c>
    </row>
    <row r="4052" spans="1:2" x14ac:dyDescent="0.25">
      <c r="A4052" s="6">
        <v>41688</v>
      </c>
      <c r="B4052">
        <v>3.927E-4</v>
      </c>
    </row>
    <row r="4053" spans="1:2" x14ac:dyDescent="0.25">
      <c r="A4053" s="6">
        <v>41689</v>
      </c>
      <c r="B4053">
        <v>3.927E-4</v>
      </c>
    </row>
    <row r="4054" spans="1:2" x14ac:dyDescent="0.25">
      <c r="A4054" s="6">
        <v>41690</v>
      </c>
      <c r="B4054">
        <v>3.927E-4</v>
      </c>
    </row>
    <row r="4055" spans="1:2" x14ac:dyDescent="0.25">
      <c r="A4055" s="6">
        <v>41691</v>
      </c>
      <c r="B4055">
        <v>3.927E-4</v>
      </c>
    </row>
    <row r="4056" spans="1:2" x14ac:dyDescent="0.25">
      <c r="A4056" s="6">
        <v>41694</v>
      </c>
      <c r="B4056">
        <v>3.927E-4</v>
      </c>
    </row>
    <row r="4057" spans="1:2" x14ac:dyDescent="0.25">
      <c r="A4057" s="6">
        <v>41695</v>
      </c>
      <c r="B4057">
        <v>3.927E-4</v>
      </c>
    </row>
    <row r="4058" spans="1:2" x14ac:dyDescent="0.25">
      <c r="A4058" s="6">
        <v>41696</v>
      </c>
      <c r="B4058">
        <v>3.927E-4</v>
      </c>
    </row>
    <row r="4059" spans="1:2" x14ac:dyDescent="0.25">
      <c r="A4059" s="6">
        <v>41697</v>
      </c>
      <c r="B4059">
        <v>4.0168000000000002E-4</v>
      </c>
    </row>
    <row r="4060" spans="1:2" x14ac:dyDescent="0.25">
      <c r="A4060" s="6">
        <v>41698</v>
      </c>
      <c r="B4060">
        <v>4.0168000000000002E-4</v>
      </c>
    </row>
    <row r="4061" spans="1:2" x14ac:dyDescent="0.25">
      <c r="A4061" s="6">
        <v>41703</v>
      </c>
      <c r="B4061">
        <v>4.0168000000000002E-4</v>
      </c>
    </row>
    <row r="4062" spans="1:2" x14ac:dyDescent="0.25">
      <c r="A4062" s="6">
        <v>41704</v>
      </c>
      <c r="B4062">
        <v>4.0168000000000002E-4</v>
      </c>
    </row>
    <row r="4063" spans="1:2" x14ac:dyDescent="0.25">
      <c r="A4063" s="6">
        <v>41705</v>
      </c>
      <c r="B4063">
        <v>4.0168000000000002E-4</v>
      </c>
    </row>
    <row r="4064" spans="1:2" x14ac:dyDescent="0.25">
      <c r="A4064" s="6">
        <v>41708</v>
      </c>
      <c r="B4064">
        <v>4.0168000000000002E-4</v>
      </c>
    </row>
    <row r="4065" spans="1:2" x14ac:dyDescent="0.25">
      <c r="A4065" s="6">
        <v>41709</v>
      </c>
      <c r="B4065">
        <v>4.0168000000000002E-4</v>
      </c>
    </row>
    <row r="4066" spans="1:2" x14ac:dyDescent="0.25">
      <c r="A4066" s="6">
        <v>41710</v>
      </c>
      <c r="B4066">
        <v>4.0168000000000002E-4</v>
      </c>
    </row>
    <row r="4067" spans="1:2" x14ac:dyDescent="0.25">
      <c r="A4067" s="6">
        <v>41711</v>
      </c>
      <c r="B4067">
        <v>4.0168000000000002E-4</v>
      </c>
    </row>
    <row r="4068" spans="1:2" x14ac:dyDescent="0.25">
      <c r="A4068" s="6">
        <v>41712</v>
      </c>
      <c r="B4068">
        <v>4.0168000000000002E-4</v>
      </c>
    </row>
    <row r="4069" spans="1:2" x14ac:dyDescent="0.25">
      <c r="A4069" s="6">
        <v>41715</v>
      </c>
      <c r="B4069">
        <v>4.0168000000000002E-4</v>
      </c>
    </row>
    <row r="4070" spans="1:2" x14ac:dyDescent="0.25">
      <c r="A4070" s="6">
        <v>41716</v>
      </c>
      <c r="B4070">
        <v>4.0168000000000002E-4</v>
      </c>
    </row>
    <row r="4071" spans="1:2" x14ac:dyDescent="0.25">
      <c r="A4071" s="6">
        <v>41717</v>
      </c>
      <c r="B4071">
        <v>4.0168000000000002E-4</v>
      </c>
    </row>
    <row r="4072" spans="1:2" x14ac:dyDescent="0.25">
      <c r="A4072" s="6">
        <v>41718</v>
      </c>
      <c r="B4072">
        <v>4.0168000000000002E-4</v>
      </c>
    </row>
    <row r="4073" spans="1:2" x14ac:dyDescent="0.25">
      <c r="A4073" s="6">
        <v>41719</v>
      </c>
      <c r="B4073">
        <v>4.0168000000000002E-4</v>
      </c>
    </row>
    <row r="4074" spans="1:2" x14ac:dyDescent="0.25">
      <c r="A4074" s="6">
        <v>41722</v>
      </c>
      <c r="B4074">
        <v>4.0168000000000002E-4</v>
      </c>
    </row>
    <row r="4075" spans="1:2" x14ac:dyDescent="0.25">
      <c r="A4075" s="6">
        <v>41723</v>
      </c>
      <c r="B4075">
        <v>4.0168000000000002E-4</v>
      </c>
    </row>
    <row r="4076" spans="1:2" x14ac:dyDescent="0.25">
      <c r="A4076" s="6">
        <v>41724</v>
      </c>
      <c r="B4076">
        <v>4.0168000000000002E-4</v>
      </c>
    </row>
    <row r="4077" spans="1:2" x14ac:dyDescent="0.25">
      <c r="A4077" s="6">
        <v>41725</v>
      </c>
      <c r="B4077">
        <v>4.0168000000000002E-4</v>
      </c>
    </row>
    <row r="4078" spans="1:2" x14ac:dyDescent="0.25">
      <c r="A4078" s="6">
        <v>41726</v>
      </c>
      <c r="B4078">
        <v>4.0168000000000002E-4</v>
      </c>
    </row>
    <row r="4079" spans="1:2" x14ac:dyDescent="0.25">
      <c r="A4079" s="6">
        <v>41729</v>
      </c>
      <c r="B4079">
        <v>4.0168000000000002E-4</v>
      </c>
    </row>
    <row r="4080" spans="1:2" x14ac:dyDescent="0.25">
      <c r="A4080" s="6">
        <v>41730</v>
      </c>
      <c r="B4080">
        <v>4.0168000000000002E-4</v>
      </c>
    </row>
    <row r="4081" spans="1:2" x14ac:dyDescent="0.25">
      <c r="A4081" s="6">
        <v>41731</v>
      </c>
      <c r="B4081">
        <v>4.0168000000000002E-4</v>
      </c>
    </row>
    <row r="4082" spans="1:2" x14ac:dyDescent="0.25">
      <c r="A4082" s="6">
        <v>41732</v>
      </c>
      <c r="B4082">
        <v>4.1063000000000004E-4</v>
      </c>
    </row>
    <row r="4083" spans="1:2" x14ac:dyDescent="0.25">
      <c r="A4083" s="6">
        <v>41733</v>
      </c>
      <c r="B4083">
        <v>4.1063000000000004E-4</v>
      </c>
    </row>
    <row r="4084" spans="1:2" x14ac:dyDescent="0.25">
      <c r="A4084" s="6">
        <v>41736</v>
      </c>
      <c r="B4084">
        <v>4.1063000000000004E-4</v>
      </c>
    </row>
    <row r="4085" spans="1:2" x14ac:dyDescent="0.25">
      <c r="A4085" s="6">
        <v>41737</v>
      </c>
      <c r="B4085">
        <v>4.1063000000000004E-4</v>
      </c>
    </row>
    <row r="4086" spans="1:2" x14ac:dyDescent="0.25">
      <c r="A4086" s="6">
        <v>41738</v>
      </c>
      <c r="B4086">
        <v>4.1063000000000004E-4</v>
      </c>
    </row>
    <row r="4087" spans="1:2" x14ac:dyDescent="0.25">
      <c r="A4087" s="6">
        <v>41739</v>
      </c>
      <c r="B4087">
        <v>4.1063000000000004E-4</v>
      </c>
    </row>
    <row r="4088" spans="1:2" x14ac:dyDescent="0.25">
      <c r="A4088" s="6">
        <v>41740</v>
      </c>
      <c r="B4088">
        <v>4.1063000000000004E-4</v>
      </c>
    </row>
    <row r="4089" spans="1:2" x14ac:dyDescent="0.25">
      <c r="A4089" s="6">
        <v>41743</v>
      </c>
      <c r="B4089">
        <v>4.1063000000000004E-4</v>
      </c>
    </row>
    <row r="4090" spans="1:2" x14ac:dyDescent="0.25">
      <c r="A4090" s="6">
        <v>41744</v>
      </c>
      <c r="B4090">
        <v>4.1063000000000004E-4</v>
      </c>
    </row>
    <row r="4091" spans="1:2" x14ac:dyDescent="0.25">
      <c r="A4091" s="6">
        <v>41745</v>
      </c>
      <c r="B4091">
        <v>4.1063000000000004E-4</v>
      </c>
    </row>
    <row r="4092" spans="1:2" x14ac:dyDescent="0.25">
      <c r="A4092" s="6">
        <v>41746</v>
      </c>
      <c r="B4092">
        <v>4.1063000000000004E-4</v>
      </c>
    </row>
    <row r="4093" spans="1:2" x14ac:dyDescent="0.25">
      <c r="A4093" s="6">
        <v>41751</v>
      </c>
      <c r="B4093">
        <v>4.1063000000000004E-4</v>
      </c>
    </row>
    <row r="4094" spans="1:2" x14ac:dyDescent="0.25">
      <c r="A4094" s="6">
        <v>41752</v>
      </c>
      <c r="B4094">
        <v>4.1063000000000004E-4</v>
      </c>
    </row>
    <row r="4095" spans="1:2" x14ac:dyDescent="0.25">
      <c r="A4095" s="6">
        <v>41753</v>
      </c>
      <c r="B4095">
        <v>4.1063000000000004E-4</v>
      </c>
    </row>
    <row r="4096" spans="1:2" x14ac:dyDescent="0.25">
      <c r="A4096" s="6">
        <v>41754</v>
      </c>
      <c r="B4096">
        <v>4.1063000000000004E-4</v>
      </c>
    </row>
    <row r="4097" spans="1:2" x14ac:dyDescent="0.25">
      <c r="A4097" s="6">
        <v>41757</v>
      </c>
      <c r="B4097">
        <v>4.1063000000000004E-4</v>
      </c>
    </row>
    <row r="4098" spans="1:2" x14ac:dyDescent="0.25">
      <c r="A4098" s="6">
        <v>41758</v>
      </c>
      <c r="B4098">
        <v>4.1063000000000004E-4</v>
      </c>
    </row>
    <row r="4099" spans="1:2" x14ac:dyDescent="0.25">
      <c r="A4099" s="6">
        <v>41759</v>
      </c>
      <c r="B4099">
        <v>4.1063000000000004E-4</v>
      </c>
    </row>
    <row r="4100" spans="1:2" x14ac:dyDescent="0.25">
      <c r="A4100" s="6">
        <v>41761</v>
      </c>
      <c r="B4100">
        <v>4.1063000000000004E-4</v>
      </c>
    </row>
    <row r="4101" spans="1:2" x14ac:dyDescent="0.25">
      <c r="A4101" s="6">
        <v>41764</v>
      </c>
      <c r="B4101">
        <v>4.1063000000000004E-4</v>
      </c>
    </row>
    <row r="4102" spans="1:2" x14ac:dyDescent="0.25">
      <c r="A4102" s="6">
        <v>41765</v>
      </c>
      <c r="B4102">
        <v>4.1063000000000004E-4</v>
      </c>
    </row>
    <row r="4103" spans="1:2" x14ac:dyDescent="0.25">
      <c r="A4103" s="6">
        <v>41766</v>
      </c>
      <c r="B4103">
        <v>4.1063000000000004E-4</v>
      </c>
    </row>
    <row r="4104" spans="1:2" x14ac:dyDescent="0.25">
      <c r="A4104" s="6">
        <v>41767</v>
      </c>
      <c r="B4104">
        <v>4.1063000000000004E-4</v>
      </c>
    </row>
    <row r="4105" spans="1:2" x14ac:dyDescent="0.25">
      <c r="A4105" s="6">
        <v>41768</v>
      </c>
      <c r="B4105">
        <v>4.1063000000000004E-4</v>
      </c>
    </row>
    <row r="4106" spans="1:2" x14ac:dyDescent="0.25">
      <c r="A4106" s="6">
        <v>41771</v>
      </c>
      <c r="B4106">
        <v>4.1063000000000004E-4</v>
      </c>
    </row>
    <row r="4107" spans="1:2" x14ac:dyDescent="0.25">
      <c r="A4107" s="6">
        <v>41772</v>
      </c>
      <c r="B4107">
        <v>4.1063000000000004E-4</v>
      </c>
    </row>
    <row r="4108" spans="1:2" x14ac:dyDescent="0.25">
      <c r="A4108" s="6">
        <v>41773</v>
      </c>
      <c r="B4108">
        <v>4.1063000000000004E-4</v>
      </c>
    </row>
    <row r="4109" spans="1:2" x14ac:dyDescent="0.25">
      <c r="A4109" s="6">
        <v>41774</v>
      </c>
      <c r="B4109">
        <v>4.1063000000000004E-4</v>
      </c>
    </row>
    <row r="4110" spans="1:2" x14ac:dyDescent="0.25">
      <c r="A4110" s="6">
        <v>41775</v>
      </c>
      <c r="B4110">
        <v>4.1063000000000004E-4</v>
      </c>
    </row>
    <row r="4111" spans="1:2" x14ac:dyDescent="0.25">
      <c r="A4111" s="6">
        <v>41778</v>
      </c>
      <c r="B4111">
        <v>4.1063000000000004E-4</v>
      </c>
    </row>
    <row r="4112" spans="1:2" x14ac:dyDescent="0.25">
      <c r="A4112" s="6">
        <v>41779</v>
      </c>
      <c r="B4112">
        <v>4.1063000000000004E-4</v>
      </c>
    </row>
    <row r="4113" spans="1:2" x14ac:dyDescent="0.25">
      <c r="A4113" s="6">
        <v>41780</v>
      </c>
      <c r="B4113">
        <v>4.1063000000000004E-4</v>
      </c>
    </row>
    <row r="4114" spans="1:2" x14ac:dyDescent="0.25">
      <c r="A4114" s="6">
        <v>41781</v>
      </c>
      <c r="B4114">
        <v>4.1063000000000004E-4</v>
      </c>
    </row>
    <row r="4115" spans="1:2" x14ac:dyDescent="0.25">
      <c r="A4115" s="6">
        <v>41782</v>
      </c>
      <c r="B4115">
        <v>4.1063000000000004E-4</v>
      </c>
    </row>
    <row r="4116" spans="1:2" x14ac:dyDescent="0.25">
      <c r="A4116" s="6">
        <v>41785</v>
      </c>
      <c r="B4116">
        <v>4.1063000000000004E-4</v>
      </c>
    </row>
    <row r="4117" spans="1:2" x14ac:dyDescent="0.25">
      <c r="A4117" s="6">
        <v>41786</v>
      </c>
      <c r="B4117">
        <v>4.1063000000000004E-4</v>
      </c>
    </row>
    <row r="4118" spans="1:2" x14ac:dyDescent="0.25">
      <c r="A4118" s="6">
        <v>41787</v>
      </c>
      <c r="B4118">
        <v>4.1063000000000004E-4</v>
      </c>
    </row>
    <row r="4119" spans="1:2" x14ac:dyDescent="0.25">
      <c r="A4119" s="6">
        <v>41788</v>
      </c>
      <c r="B4119">
        <v>4.1063000000000004E-4</v>
      </c>
    </row>
    <row r="4120" spans="1:2" x14ac:dyDescent="0.25">
      <c r="A4120" s="6">
        <v>41789</v>
      </c>
      <c r="B4120">
        <v>4.1063000000000004E-4</v>
      </c>
    </row>
    <row r="4121" spans="1:2" x14ac:dyDescent="0.25">
      <c r="A4121" s="6">
        <v>41792</v>
      </c>
      <c r="B4121">
        <v>4.1063000000000004E-4</v>
      </c>
    </row>
    <row r="4122" spans="1:2" x14ac:dyDescent="0.25">
      <c r="A4122" s="6">
        <v>41793</v>
      </c>
      <c r="B4122">
        <v>4.1063000000000004E-4</v>
      </c>
    </row>
    <row r="4123" spans="1:2" x14ac:dyDescent="0.25">
      <c r="A4123" s="6">
        <v>41794</v>
      </c>
      <c r="B4123">
        <v>4.1063000000000004E-4</v>
      </c>
    </row>
    <row r="4124" spans="1:2" x14ac:dyDescent="0.25">
      <c r="A4124" s="6">
        <v>41795</v>
      </c>
      <c r="B4124">
        <v>4.1063000000000004E-4</v>
      </c>
    </row>
    <row r="4125" spans="1:2" x14ac:dyDescent="0.25">
      <c r="A4125" s="6">
        <v>41796</v>
      </c>
      <c r="B4125">
        <v>4.1063000000000004E-4</v>
      </c>
    </row>
    <row r="4126" spans="1:2" x14ac:dyDescent="0.25">
      <c r="A4126" s="6">
        <v>41799</v>
      </c>
      <c r="B4126">
        <v>4.1063000000000004E-4</v>
      </c>
    </row>
    <row r="4127" spans="1:2" x14ac:dyDescent="0.25">
      <c r="A4127" s="6">
        <v>41800</v>
      </c>
      <c r="B4127">
        <v>4.1063000000000004E-4</v>
      </c>
    </row>
    <row r="4128" spans="1:2" x14ac:dyDescent="0.25">
      <c r="A4128" s="6">
        <v>41801</v>
      </c>
      <c r="B4128">
        <v>4.1063000000000004E-4</v>
      </c>
    </row>
    <row r="4129" spans="1:2" x14ac:dyDescent="0.25">
      <c r="A4129" s="6">
        <v>41802</v>
      </c>
      <c r="B4129">
        <v>4.1063000000000004E-4</v>
      </c>
    </row>
    <row r="4130" spans="1:2" x14ac:dyDescent="0.25">
      <c r="A4130" s="6">
        <v>41803</v>
      </c>
      <c r="B4130">
        <v>4.1063000000000004E-4</v>
      </c>
    </row>
    <row r="4131" spans="1:2" x14ac:dyDescent="0.25">
      <c r="A4131" s="6">
        <v>41806</v>
      </c>
      <c r="B4131">
        <v>4.1063000000000004E-4</v>
      </c>
    </row>
    <row r="4132" spans="1:2" x14ac:dyDescent="0.25">
      <c r="A4132" s="6">
        <v>41807</v>
      </c>
      <c r="B4132">
        <v>4.1063000000000004E-4</v>
      </c>
    </row>
    <row r="4133" spans="1:2" x14ac:dyDescent="0.25">
      <c r="A4133" s="6">
        <v>41808</v>
      </c>
      <c r="B4133">
        <v>4.1063000000000004E-4</v>
      </c>
    </row>
    <row r="4134" spans="1:2" x14ac:dyDescent="0.25">
      <c r="A4134" s="6">
        <v>41810</v>
      </c>
      <c r="B4134">
        <v>4.1063000000000004E-4</v>
      </c>
    </row>
    <row r="4135" spans="1:2" x14ac:dyDescent="0.25">
      <c r="A4135" s="6">
        <v>41813</v>
      </c>
      <c r="B4135">
        <v>4.1063000000000004E-4</v>
      </c>
    </row>
    <row r="4136" spans="1:2" x14ac:dyDescent="0.25">
      <c r="A4136" s="6">
        <v>41814</v>
      </c>
      <c r="B4136">
        <v>4.1063000000000004E-4</v>
      </c>
    </row>
    <row r="4137" spans="1:2" x14ac:dyDescent="0.25">
      <c r="A4137" s="6">
        <v>41815</v>
      </c>
      <c r="B4137">
        <v>4.1063000000000004E-4</v>
      </c>
    </row>
    <row r="4138" spans="1:2" x14ac:dyDescent="0.25">
      <c r="A4138" s="6">
        <v>41816</v>
      </c>
      <c r="B4138">
        <v>4.1063000000000004E-4</v>
      </c>
    </row>
    <row r="4139" spans="1:2" x14ac:dyDescent="0.25">
      <c r="A4139" s="6">
        <v>41817</v>
      </c>
      <c r="B4139">
        <v>4.1063000000000004E-4</v>
      </c>
    </row>
    <row r="4140" spans="1:2" x14ac:dyDescent="0.25">
      <c r="A4140" s="6">
        <v>41820</v>
      </c>
      <c r="B4140">
        <v>4.1063000000000004E-4</v>
      </c>
    </row>
    <row r="4141" spans="1:2" x14ac:dyDescent="0.25">
      <c r="A4141" s="6">
        <v>41821</v>
      </c>
      <c r="B4141">
        <v>4.1063000000000004E-4</v>
      </c>
    </row>
    <row r="4142" spans="1:2" x14ac:dyDescent="0.25">
      <c r="A4142" s="6">
        <v>41822</v>
      </c>
      <c r="B4142">
        <v>4.1063000000000004E-4</v>
      </c>
    </row>
    <row r="4143" spans="1:2" x14ac:dyDescent="0.25">
      <c r="A4143" s="6">
        <v>41823</v>
      </c>
      <c r="B4143">
        <v>4.1063000000000004E-4</v>
      </c>
    </row>
    <row r="4144" spans="1:2" x14ac:dyDescent="0.25">
      <c r="A4144" s="6">
        <v>41824</v>
      </c>
      <c r="B4144">
        <v>4.1063000000000004E-4</v>
      </c>
    </row>
    <row r="4145" spans="1:2" x14ac:dyDescent="0.25">
      <c r="A4145" s="6">
        <v>41827</v>
      </c>
      <c r="B4145">
        <v>4.1063000000000004E-4</v>
      </c>
    </row>
    <row r="4146" spans="1:2" x14ac:dyDescent="0.25">
      <c r="A4146" s="6">
        <v>41828</v>
      </c>
      <c r="B4146">
        <v>4.1063000000000004E-4</v>
      </c>
    </row>
    <row r="4147" spans="1:2" x14ac:dyDescent="0.25">
      <c r="A4147" s="6">
        <v>41829</v>
      </c>
      <c r="B4147">
        <v>4.1063000000000004E-4</v>
      </c>
    </row>
    <row r="4148" spans="1:2" x14ac:dyDescent="0.25">
      <c r="A4148" s="6">
        <v>41830</v>
      </c>
      <c r="B4148">
        <v>4.1063000000000004E-4</v>
      </c>
    </row>
    <row r="4149" spans="1:2" x14ac:dyDescent="0.25">
      <c r="A4149" s="6">
        <v>41831</v>
      </c>
      <c r="B4149">
        <v>4.1063000000000004E-4</v>
      </c>
    </row>
    <row r="4150" spans="1:2" x14ac:dyDescent="0.25">
      <c r="A4150" s="6">
        <v>41834</v>
      </c>
      <c r="B4150">
        <v>4.1063000000000004E-4</v>
      </c>
    </row>
    <row r="4151" spans="1:2" x14ac:dyDescent="0.25">
      <c r="A4151" s="6">
        <v>41835</v>
      </c>
      <c r="B4151">
        <v>4.1063000000000004E-4</v>
      </c>
    </row>
    <row r="4152" spans="1:2" x14ac:dyDescent="0.25">
      <c r="A4152" s="6">
        <v>41836</v>
      </c>
      <c r="B4152">
        <v>4.1063000000000004E-4</v>
      </c>
    </row>
    <row r="4153" spans="1:2" x14ac:dyDescent="0.25">
      <c r="A4153" s="6">
        <v>41837</v>
      </c>
      <c r="B4153">
        <v>4.1063000000000004E-4</v>
      </c>
    </row>
    <row r="4154" spans="1:2" x14ac:dyDescent="0.25">
      <c r="A4154" s="6">
        <v>41838</v>
      </c>
      <c r="B4154">
        <v>4.1063000000000004E-4</v>
      </c>
    </row>
    <row r="4155" spans="1:2" x14ac:dyDescent="0.25">
      <c r="A4155" s="6">
        <v>41841</v>
      </c>
      <c r="B4155">
        <v>4.1063000000000004E-4</v>
      </c>
    </row>
    <row r="4156" spans="1:2" x14ac:dyDescent="0.25">
      <c r="A4156" s="6">
        <v>41842</v>
      </c>
      <c r="B4156">
        <v>4.1063000000000004E-4</v>
      </c>
    </row>
    <row r="4157" spans="1:2" x14ac:dyDescent="0.25">
      <c r="A4157" s="6">
        <v>41843</v>
      </c>
      <c r="B4157">
        <v>4.1063000000000004E-4</v>
      </c>
    </row>
    <row r="4158" spans="1:2" x14ac:dyDescent="0.25">
      <c r="A4158" s="6">
        <v>41844</v>
      </c>
      <c r="B4158">
        <v>4.1063000000000004E-4</v>
      </c>
    </row>
    <row r="4159" spans="1:2" x14ac:dyDescent="0.25">
      <c r="A4159" s="6">
        <v>41845</v>
      </c>
      <c r="B4159">
        <v>4.1063000000000004E-4</v>
      </c>
    </row>
    <row r="4160" spans="1:2" x14ac:dyDescent="0.25">
      <c r="A4160" s="6">
        <v>41848</v>
      </c>
      <c r="B4160">
        <v>4.1063000000000004E-4</v>
      </c>
    </row>
    <row r="4161" spans="1:2" x14ac:dyDescent="0.25">
      <c r="A4161" s="6">
        <v>41849</v>
      </c>
      <c r="B4161">
        <v>4.1063000000000004E-4</v>
      </c>
    </row>
    <row r="4162" spans="1:2" x14ac:dyDescent="0.25">
      <c r="A4162" s="6">
        <v>41850</v>
      </c>
      <c r="B4162">
        <v>4.1063000000000004E-4</v>
      </c>
    </row>
    <row r="4163" spans="1:2" x14ac:dyDescent="0.25">
      <c r="A4163" s="6">
        <v>41851</v>
      </c>
      <c r="B4163">
        <v>4.1063000000000004E-4</v>
      </c>
    </row>
    <row r="4164" spans="1:2" x14ac:dyDescent="0.25">
      <c r="A4164" s="6">
        <v>41852</v>
      </c>
      <c r="B4164">
        <v>4.1063000000000004E-4</v>
      </c>
    </row>
    <row r="4165" spans="1:2" x14ac:dyDescent="0.25">
      <c r="A4165" s="6">
        <v>41855</v>
      </c>
      <c r="B4165">
        <v>4.1063000000000004E-4</v>
      </c>
    </row>
    <row r="4166" spans="1:2" x14ac:dyDescent="0.25">
      <c r="A4166" s="6">
        <v>41856</v>
      </c>
      <c r="B4166">
        <v>4.1063000000000004E-4</v>
      </c>
    </row>
    <row r="4167" spans="1:2" x14ac:dyDescent="0.25">
      <c r="A4167" s="6">
        <v>41857</v>
      </c>
      <c r="B4167">
        <v>4.1063000000000004E-4</v>
      </c>
    </row>
    <row r="4168" spans="1:2" x14ac:dyDescent="0.25">
      <c r="A4168" s="6">
        <v>41858</v>
      </c>
      <c r="B4168">
        <v>4.1063000000000004E-4</v>
      </c>
    </row>
    <row r="4169" spans="1:2" x14ac:dyDescent="0.25">
      <c r="A4169" s="6">
        <v>41859</v>
      </c>
      <c r="B4169">
        <v>4.1063000000000004E-4</v>
      </c>
    </row>
    <row r="4170" spans="1:2" x14ac:dyDescent="0.25">
      <c r="A4170" s="6">
        <v>41862</v>
      </c>
      <c r="B4170">
        <v>4.1063000000000004E-4</v>
      </c>
    </row>
    <row r="4171" spans="1:2" x14ac:dyDescent="0.25">
      <c r="A4171" s="6">
        <v>41863</v>
      </c>
      <c r="B4171">
        <v>4.1063000000000004E-4</v>
      </c>
    </row>
    <row r="4172" spans="1:2" x14ac:dyDescent="0.25">
      <c r="A4172" s="6">
        <v>41864</v>
      </c>
      <c r="B4172">
        <v>4.1063000000000004E-4</v>
      </c>
    </row>
    <row r="4173" spans="1:2" x14ac:dyDescent="0.25">
      <c r="A4173" s="6">
        <v>41865</v>
      </c>
      <c r="B4173">
        <v>4.1063000000000004E-4</v>
      </c>
    </row>
    <row r="4174" spans="1:2" x14ac:dyDescent="0.25">
      <c r="A4174" s="6">
        <v>41866</v>
      </c>
      <c r="B4174">
        <v>4.1098999999999997E-4</v>
      </c>
    </row>
    <row r="4175" spans="1:2" x14ac:dyDescent="0.25">
      <c r="A4175" s="6">
        <v>41869</v>
      </c>
      <c r="B4175">
        <v>4.1063000000000004E-4</v>
      </c>
    </row>
    <row r="4176" spans="1:2" x14ac:dyDescent="0.25">
      <c r="A4176" s="6">
        <v>41870</v>
      </c>
      <c r="B4176">
        <v>4.1063000000000004E-4</v>
      </c>
    </row>
    <row r="4177" spans="1:2" x14ac:dyDescent="0.25">
      <c r="A4177" s="6">
        <v>41871</v>
      </c>
      <c r="B4177">
        <v>4.1098999999999997E-4</v>
      </c>
    </row>
    <row r="4178" spans="1:2" x14ac:dyDescent="0.25">
      <c r="A4178" s="6">
        <v>41872</v>
      </c>
      <c r="B4178">
        <v>4.1098999999999997E-4</v>
      </c>
    </row>
    <row r="4179" spans="1:2" x14ac:dyDescent="0.25">
      <c r="A4179" s="6">
        <v>41873</v>
      </c>
      <c r="B4179">
        <v>4.1063000000000004E-4</v>
      </c>
    </row>
    <row r="4180" spans="1:2" x14ac:dyDescent="0.25">
      <c r="A4180" s="6">
        <v>41876</v>
      </c>
      <c r="B4180">
        <v>4.1063000000000004E-4</v>
      </c>
    </row>
    <row r="4181" spans="1:2" x14ac:dyDescent="0.25">
      <c r="A4181" s="6">
        <v>41877</v>
      </c>
      <c r="B4181">
        <v>4.1063000000000004E-4</v>
      </c>
    </row>
    <row r="4182" spans="1:2" x14ac:dyDescent="0.25">
      <c r="A4182" s="6">
        <v>41878</v>
      </c>
      <c r="B4182">
        <v>4.1063000000000004E-4</v>
      </c>
    </row>
    <row r="4183" spans="1:2" x14ac:dyDescent="0.25">
      <c r="A4183" s="6">
        <v>41879</v>
      </c>
      <c r="B4183">
        <v>4.1063000000000004E-4</v>
      </c>
    </row>
    <row r="4184" spans="1:2" x14ac:dyDescent="0.25">
      <c r="A4184" s="6">
        <v>41880</v>
      </c>
      <c r="B4184">
        <v>4.1063000000000004E-4</v>
      </c>
    </row>
    <row r="4185" spans="1:2" x14ac:dyDescent="0.25">
      <c r="A4185" s="6">
        <v>41883</v>
      </c>
      <c r="B4185">
        <v>4.1063000000000004E-4</v>
      </c>
    </row>
    <row r="4186" spans="1:2" x14ac:dyDescent="0.25">
      <c r="A4186" s="6">
        <v>41884</v>
      </c>
      <c r="B4186">
        <v>4.1063000000000004E-4</v>
      </c>
    </row>
    <row r="4187" spans="1:2" x14ac:dyDescent="0.25">
      <c r="A4187" s="6">
        <v>41885</v>
      </c>
      <c r="B4187">
        <v>4.1063000000000004E-4</v>
      </c>
    </row>
    <row r="4188" spans="1:2" x14ac:dyDescent="0.25">
      <c r="A4188" s="6">
        <v>41886</v>
      </c>
      <c r="B4188">
        <v>4.1063000000000004E-4</v>
      </c>
    </row>
    <row r="4189" spans="1:2" x14ac:dyDescent="0.25">
      <c r="A4189" s="6">
        <v>41887</v>
      </c>
      <c r="B4189">
        <v>4.1063000000000004E-4</v>
      </c>
    </row>
    <row r="4190" spans="1:2" x14ac:dyDescent="0.25">
      <c r="A4190" s="6">
        <v>41890</v>
      </c>
      <c r="B4190">
        <v>4.1063000000000004E-4</v>
      </c>
    </row>
    <row r="4191" spans="1:2" x14ac:dyDescent="0.25">
      <c r="A4191" s="6">
        <v>41891</v>
      </c>
      <c r="B4191">
        <v>4.1063000000000004E-4</v>
      </c>
    </row>
    <row r="4192" spans="1:2" x14ac:dyDescent="0.25">
      <c r="A4192" s="6">
        <v>41892</v>
      </c>
      <c r="B4192">
        <v>4.1063000000000004E-4</v>
      </c>
    </row>
    <row r="4193" spans="1:2" x14ac:dyDescent="0.25">
      <c r="A4193" s="6">
        <v>41893</v>
      </c>
      <c r="B4193">
        <v>4.1063000000000004E-4</v>
      </c>
    </row>
    <row r="4194" spans="1:2" x14ac:dyDescent="0.25">
      <c r="A4194" s="6">
        <v>41894</v>
      </c>
      <c r="B4194">
        <v>4.1063000000000004E-4</v>
      </c>
    </row>
    <row r="4195" spans="1:2" x14ac:dyDescent="0.25">
      <c r="A4195" s="6">
        <v>41897</v>
      </c>
      <c r="B4195">
        <v>4.1063000000000004E-4</v>
      </c>
    </row>
    <row r="4196" spans="1:2" x14ac:dyDescent="0.25">
      <c r="A4196" s="6">
        <v>41898</v>
      </c>
      <c r="B4196">
        <v>4.1063000000000004E-4</v>
      </c>
    </row>
    <row r="4197" spans="1:2" x14ac:dyDescent="0.25">
      <c r="A4197" s="6">
        <v>41899</v>
      </c>
      <c r="B4197">
        <v>4.1063000000000004E-4</v>
      </c>
    </row>
    <row r="4198" spans="1:2" x14ac:dyDescent="0.25">
      <c r="A4198" s="6">
        <v>41900</v>
      </c>
      <c r="B4198">
        <v>4.1063000000000004E-4</v>
      </c>
    </row>
    <row r="4199" spans="1:2" x14ac:dyDescent="0.25">
      <c r="A4199" s="6">
        <v>41901</v>
      </c>
      <c r="B4199">
        <v>4.1063000000000004E-4</v>
      </c>
    </row>
    <row r="4200" spans="1:2" x14ac:dyDescent="0.25">
      <c r="A4200" s="6">
        <v>41904</v>
      </c>
      <c r="B4200">
        <v>4.1063000000000004E-4</v>
      </c>
    </row>
    <row r="4201" spans="1:2" x14ac:dyDescent="0.25">
      <c r="A4201" s="6">
        <v>41905</v>
      </c>
      <c r="B4201">
        <v>4.1063000000000004E-4</v>
      </c>
    </row>
    <row r="4202" spans="1:2" x14ac:dyDescent="0.25">
      <c r="A4202" s="6">
        <v>41906</v>
      </c>
      <c r="B4202">
        <v>4.1063000000000004E-4</v>
      </c>
    </row>
    <row r="4203" spans="1:2" x14ac:dyDescent="0.25">
      <c r="A4203" s="6">
        <v>41907</v>
      </c>
      <c r="B4203">
        <v>4.1063000000000004E-4</v>
      </c>
    </row>
    <row r="4204" spans="1:2" x14ac:dyDescent="0.25">
      <c r="A4204" s="6">
        <v>41908</v>
      </c>
      <c r="B4204">
        <v>4.1063000000000004E-4</v>
      </c>
    </row>
    <row r="4205" spans="1:2" x14ac:dyDescent="0.25">
      <c r="A4205" s="6">
        <v>41911</v>
      </c>
      <c r="B4205">
        <v>4.1063000000000004E-4</v>
      </c>
    </row>
    <row r="4206" spans="1:2" x14ac:dyDescent="0.25">
      <c r="A4206" s="6">
        <v>41912</v>
      </c>
      <c r="B4206">
        <v>4.1063000000000004E-4</v>
      </c>
    </row>
    <row r="4207" spans="1:2" x14ac:dyDescent="0.25">
      <c r="A4207" s="6">
        <v>41913</v>
      </c>
      <c r="B4207">
        <v>4.1063000000000004E-4</v>
      </c>
    </row>
    <row r="4208" spans="1:2" x14ac:dyDescent="0.25">
      <c r="A4208" s="6">
        <v>41914</v>
      </c>
      <c r="B4208">
        <v>4.1063000000000004E-4</v>
      </c>
    </row>
    <row r="4209" spans="1:2" x14ac:dyDescent="0.25">
      <c r="A4209" s="6">
        <v>41915</v>
      </c>
      <c r="B4209">
        <v>4.1063000000000004E-4</v>
      </c>
    </row>
    <row r="4210" spans="1:2" x14ac:dyDescent="0.25">
      <c r="A4210" s="6">
        <v>41918</v>
      </c>
      <c r="B4210">
        <v>4.1063000000000004E-4</v>
      </c>
    </row>
    <row r="4211" spans="1:2" x14ac:dyDescent="0.25">
      <c r="A4211" s="6">
        <v>41919</v>
      </c>
      <c r="B4211">
        <v>4.1063000000000004E-4</v>
      </c>
    </row>
    <row r="4212" spans="1:2" x14ac:dyDescent="0.25">
      <c r="A4212" s="6">
        <v>41920</v>
      </c>
      <c r="B4212">
        <v>4.1063000000000004E-4</v>
      </c>
    </row>
    <row r="4213" spans="1:2" x14ac:dyDescent="0.25">
      <c r="A4213" s="6">
        <v>41921</v>
      </c>
      <c r="B4213">
        <v>4.1063000000000004E-4</v>
      </c>
    </row>
    <row r="4214" spans="1:2" x14ac:dyDescent="0.25">
      <c r="A4214" s="6">
        <v>41922</v>
      </c>
      <c r="B4214">
        <v>4.1063000000000004E-4</v>
      </c>
    </row>
    <row r="4215" spans="1:2" x14ac:dyDescent="0.25">
      <c r="A4215" s="6">
        <v>41925</v>
      </c>
      <c r="B4215">
        <v>4.1063000000000004E-4</v>
      </c>
    </row>
    <row r="4216" spans="1:2" x14ac:dyDescent="0.25">
      <c r="A4216" s="6">
        <v>41926</v>
      </c>
      <c r="B4216">
        <v>4.1063000000000004E-4</v>
      </c>
    </row>
    <row r="4217" spans="1:2" x14ac:dyDescent="0.25">
      <c r="A4217" s="6">
        <v>41927</v>
      </c>
      <c r="B4217">
        <v>4.1063000000000004E-4</v>
      </c>
    </row>
    <row r="4218" spans="1:2" x14ac:dyDescent="0.25">
      <c r="A4218" s="6">
        <v>41928</v>
      </c>
      <c r="B4218">
        <v>4.1063000000000004E-4</v>
      </c>
    </row>
    <row r="4219" spans="1:2" x14ac:dyDescent="0.25">
      <c r="A4219" s="6">
        <v>41929</v>
      </c>
      <c r="B4219">
        <v>4.1063000000000004E-4</v>
      </c>
    </row>
    <row r="4220" spans="1:2" x14ac:dyDescent="0.25">
      <c r="A4220" s="6">
        <v>41932</v>
      </c>
      <c r="B4220">
        <v>4.1063000000000004E-4</v>
      </c>
    </row>
    <row r="4221" spans="1:2" x14ac:dyDescent="0.25">
      <c r="A4221" s="6">
        <v>41933</v>
      </c>
      <c r="B4221">
        <v>4.1063000000000004E-4</v>
      </c>
    </row>
    <row r="4222" spans="1:2" x14ac:dyDescent="0.25">
      <c r="A4222" s="6">
        <v>41934</v>
      </c>
      <c r="B4222">
        <v>4.1063000000000004E-4</v>
      </c>
    </row>
    <row r="4223" spans="1:2" x14ac:dyDescent="0.25">
      <c r="A4223" s="6">
        <v>41935</v>
      </c>
      <c r="B4223">
        <v>4.1063000000000004E-4</v>
      </c>
    </row>
    <row r="4224" spans="1:2" x14ac:dyDescent="0.25">
      <c r="A4224" s="6">
        <v>41936</v>
      </c>
      <c r="B4224">
        <v>4.1063000000000004E-4</v>
      </c>
    </row>
    <row r="4225" spans="1:2" x14ac:dyDescent="0.25">
      <c r="A4225" s="6">
        <v>41939</v>
      </c>
      <c r="B4225">
        <v>4.1063000000000004E-4</v>
      </c>
    </row>
    <row r="4226" spans="1:2" x14ac:dyDescent="0.25">
      <c r="A4226" s="6">
        <v>41940</v>
      </c>
      <c r="B4226">
        <v>4.1063000000000004E-4</v>
      </c>
    </row>
    <row r="4227" spans="1:2" x14ac:dyDescent="0.25">
      <c r="A4227" s="6">
        <v>41941</v>
      </c>
      <c r="B4227">
        <v>4.1063000000000004E-4</v>
      </c>
    </row>
    <row r="4228" spans="1:2" x14ac:dyDescent="0.25">
      <c r="A4228" s="6">
        <v>41942</v>
      </c>
      <c r="B4228">
        <v>4.1957000000000002E-4</v>
      </c>
    </row>
    <row r="4229" spans="1:2" x14ac:dyDescent="0.25">
      <c r="A4229" s="6">
        <v>41943</v>
      </c>
      <c r="B4229">
        <v>4.1957000000000002E-4</v>
      </c>
    </row>
    <row r="4230" spans="1:2" x14ac:dyDescent="0.25">
      <c r="A4230" s="6">
        <v>41946</v>
      </c>
      <c r="B4230">
        <v>4.1957000000000002E-4</v>
      </c>
    </row>
    <row r="4231" spans="1:2" x14ac:dyDescent="0.25">
      <c r="A4231" s="6">
        <v>41947</v>
      </c>
      <c r="B4231">
        <v>4.1957000000000002E-4</v>
      </c>
    </row>
    <row r="4232" spans="1:2" x14ac:dyDescent="0.25">
      <c r="A4232" s="6">
        <v>41948</v>
      </c>
      <c r="B4232">
        <v>4.1957000000000002E-4</v>
      </c>
    </row>
    <row r="4233" spans="1:2" x14ac:dyDescent="0.25">
      <c r="A4233" s="6">
        <v>41949</v>
      </c>
      <c r="B4233">
        <v>4.1957000000000002E-4</v>
      </c>
    </row>
    <row r="4234" spans="1:2" x14ac:dyDescent="0.25">
      <c r="A4234" s="6">
        <v>41950</v>
      </c>
      <c r="B4234">
        <v>4.1957000000000002E-4</v>
      </c>
    </row>
    <row r="4235" spans="1:2" x14ac:dyDescent="0.25">
      <c r="A4235" s="6">
        <v>41953</v>
      </c>
      <c r="B4235">
        <v>4.1957000000000002E-4</v>
      </c>
    </row>
    <row r="4236" spans="1:2" x14ac:dyDescent="0.25">
      <c r="A4236" s="6">
        <v>41954</v>
      </c>
      <c r="B4236">
        <v>4.1957000000000002E-4</v>
      </c>
    </row>
    <row r="4237" spans="1:2" x14ac:dyDescent="0.25">
      <c r="A4237" s="6">
        <v>41955</v>
      </c>
      <c r="B4237">
        <v>4.1957000000000002E-4</v>
      </c>
    </row>
    <row r="4238" spans="1:2" x14ac:dyDescent="0.25">
      <c r="A4238" s="6">
        <v>41956</v>
      </c>
      <c r="B4238">
        <v>4.1957000000000002E-4</v>
      </c>
    </row>
    <row r="4239" spans="1:2" x14ac:dyDescent="0.25">
      <c r="A4239" s="6">
        <v>41957</v>
      </c>
      <c r="B4239">
        <v>4.1957000000000002E-4</v>
      </c>
    </row>
    <row r="4240" spans="1:2" x14ac:dyDescent="0.25">
      <c r="A4240" s="6">
        <v>41960</v>
      </c>
      <c r="B4240">
        <v>4.1957000000000002E-4</v>
      </c>
    </row>
    <row r="4241" spans="1:2" x14ac:dyDescent="0.25">
      <c r="A4241" s="6">
        <v>41961</v>
      </c>
      <c r="B4241">
        <v>4.1957000000000002E-4</v>
      </c>
    </row>
    <row r="4242" spans="1:2" x14ac:dyDescent="0.25">
      <c r="A4242" s="6">
        <v>41962</v>
      </c>
      <c r="B4242">
        <v>4.1957000000000002E-4</v>
      </c>
    </row>
    <row r="4243" spans="1:2" x14ac:dyDescent="0.25">
      <c r="A4243" s="6">
        <v>41963</v>
      </c>
      <c r="B4243">
        <v>4.1957000000000002E-4</v>
      </c>
    </row>
    <row r="4244" spans="1:2" x14ac:dyDescent="0.25">
      <c r="A4244" s="6">
        <v>41964</v>
      </c>
      <c r="B4244">
        <v>4.1957000000000002E-4</v>
      </c>
    </row>
    <row r="4245" spans="1:2" x14ac:dyDescent="0.25">
      <c r="A4245" s="6">
        <v>41967</v>
      </c>
      <c r="B4245">
        <v>4.1957000000000002E-4</v>
      </c>
    </row>
    <row r="4246" spans="1:2" x14ac:dyDescent="0.25">
      <c r="A4246" s="6">
        <v>41968</v>
      </c>
      <c r="B4246">
        <v>4.1957000000000002E-4</v>
      </c>
    </row>
    <row r="4247" spans="1:2" x14ac:dyDescent="0.25">
      <c r="A4247" s="6">
        <v>41969</v>
      </c>
      <c r="B4247">
        <v>4.1957000000000002E-4</v>
      </c>
    </row>
    <row r="4248" spans="1:2" x14ac:dyDescent="0.25">
      <c r="A4248" s="6">
        <v>41970</v>
      </c>
      <c r="B4248">
        <v>4.1957000000000002E-4</v>
      </c>
    </row>
    <row r="4249" spans="1:2" x14ac:dyDescent="0.25">
      <c r="A4249" s="6">
        <v>41971</v>
      </c>
      <c r="B4249">
        <v>4.1957000000000002E-4</v>
      </c>
    </row>
    <row r="4250" spans="1:2" x14ac:dyDescent="0.25">
      <c r="A4250" s="6">
        <v>41974</v>
      </c>
      <c r="B4250">
        <v>4.1957000000000002E-4</v>
      </c>
    </row>
    <row r="4251" spans="1:2" x14ac:dyDescent="0.25">
      <c r="A4251" s="6">
        <v>41975</v>
      </c>
      <c r="B4251">
        <v>4.1957000000000002E-4</v>
      </c>
    </row>
    <row r="4252" spans="1:2" x14ac:dyDescent="0.25">
      <c r="A4252" s="6">
        <v>41976</v>
      </c>
      <c r="B4252">
        <v>4.1957000000000002E-4</v>
      </c>
    </row>
    <row r="4253" spans="1:2" x14ac:dyDescent="0.25">
      <c r="A4253" s="6">
        <v>41977</v>
      </c>
      <c r="B4253">
        <v>4.3739000000000001E-4</v>
      </c>
    </row>
    <row r="4254" spans="1:2" x14ac:dyDescent="0.25">
      <c r="A4254" s="6">
        <v>41978</v>
      </c>
      <c r="B4254">
        <v>4.3739000000000001E-4</v>
      </c>
    </row>
    <row r="4255" spans="1:2" x14ac:dyDescent="0.25">
      <c r="A4255" s="6">
        <v>41981</v>
      </c>
      <c r="B4255">
        <v>4.3739000000000001E-4</v>
      </c>
    </row>
    <row r="4256" spans="1:2" x14ac:dyDescent="0.25">
      <c r="A4256" s="6">
        <v>41982</v>
      </c>
      <c r="B4256">
        <v>4.3739000000000001E-4</v>
      </c>
    </row>
    <row r="4257" spans="1:2" x14ac:dyDescent="0.25">
      <c r="A4257" s="6">
        <v>41983</v>
      </c>
      <c r="B4257">
        <v>4.3739000000000001E-4</v>
      </c>
    </row>
    <row r="4258" spans="1:2" x14ac:dyDescent="0.25">
      <c r="A4258" s="6">
        <v>41984</v>
      </c>
      <c r="B4258">
        <v>4.3739000000000001E-4</v>
      </c>
    </row>
    <row r="4259" spans="1:2" x14ac:dyDescent="0.25">
      <c r="A4259" s="6">
        <v>41985</v>
      </c>
      <c r="B4259">
        <v>4.3739000000000001E-4</v>
      </c>
    </row>
    <row r="4260" spans="1:2" x14ac:dyDescent="0.25">
      <c r="A4260" s="6">
        <v>41988</v>
      </c>
      <c r="B4260">
        <v>4.3739000000000001E-4</v>
      </c>
    </row>
    <row r="4261" spans="1:2" x14ac:dyDescent="0.25">
      <c r="A4261" s="6">
        <v>41989</v>
      </c>
      <c r="B4261">
        <v>4.3739000000000001E-4</v>
      </c>
    </row>
    <row r="4262" spans="1:2" x14ac:dyDescent="0.25">
      <c r="A4262" s="6">
        <v>41990</v>
      </c>
      <c r="B4262">
        <v>4.3739000000000001E-4</v>
      </c>
    </row>
    <row r="4263" spans="1:2" x14ac:dyDescent="0.25">
      <c r="A4263" s="6">
        <v>41991</v>
      </c>
      <c r="B4263">
        <v>4.3739000000000001E-4</v>
      </c>
    </row>
    <row r="4264" spans="1:2" x14ac:dyDescent="0.25">
      <c r="A4264" s="6">
        <v>41992</v>
      </c>
      <c r="B4264">
        <v>4.3739000000000001E-4</v>
      </c>
    </row>
    <row r="4265" spans="1:2" x14ac:dyDescent="0.25">
      <c r="A4265" s="6">
        <v>41995</v>
      </c>
      <c r="B4265">
        <v>4.3739000000000001E-4</v>
      </c>
    </row>
    <row r="4266" spans="1:2" x14ac:dyDescent="0.25">
      <c r="A4266" s="6">
        <v>41996</v>
      </c>
      <c r="B4266">
        <v>4.3739000000000001E-4</v>
      </c>
    </row>
    <row r="4267" spans="1:2" x14ac:dyDescent="0.25">
      <c r="A4267" s="6">
        <v>41997</v>
      </c>
      <c r="B4267">
        <v>4.3739000000000001E-4</v>
      </c>
    </row>
    <row r="4268" spans="1:2" x14ac:dyDescent="0.25">
      <c r="A4268" s="6">
        <v>41999</v>
      </c>
      <c r="B4268">
        <v>4.3739000000000001E-4</v>
      </c>
    </row>
    <row r="4269" spans="1:2" x14ac:dyDescent="0.25">
      <c r="A4269" s="6">
        <v>42002</v>
      </c>
      <c r="B4269">
        <v>4.3739000000000001E-4</v>
      </c>
    </row>
    <row r="4270" spans="1:2" x14ac:dyDescent="0.25">
      <c r="A4270" s="6">
        <v>42003</v>
      </c>
      <c r="B4270">
        <v>4.3739000000000001E-4</v>
      </c>
    </row>
    <row r="4271" spans="1:2" x14ac:dyDescent="0.25">
      <c r="A4271" s="6">
        <v>42004</v>
      </c>
      <c r="B4271">
        <v>4.3739000000000001E-4</v>
      </c>
    </row>
    <row r="4272" spans="1:2" x14ac:dyDescent="0.25">
      <c r="A4272" s="6">
        <v>42006</v>
      </c>
      <c r="B4272">
        <v>4.3739000000000001E-4</v>
      </c>
    </row>
    <row r="4273" spans="1:2" x14ac:dyDescent="0.25">
      <c r="A4273" s="6">
        <v>42009</v>
      </c>
      <c r="B4273">
        <v>4.3739000000000001E-4</v>
      </c>
    </row>
    <row r="4274" spans="1:2" x14ac:dyDescent="0.25">
      <c r="A4274" s="6">
        <v>42010</v>
      </c>
      <c r="B4274">
        <v>4.3739000000000001E-4</v>
      </c>
    </row>
    <row r="4275" spans="1:2" x14ac:dyDescent="0.25">
      <c r="A4275" s="6">
        <v>42011</v>
      </c>
      <c r="B4275">
        <v>4.3739000000000001E-4</v>
      </c>
    </row>
    <row r="4276" spans="1:2" x14ac:dyDescent="0.25">
      <c r="A4276" s="6">
        <v>42012</v>
      </c>
      <c r="B4276">
        <v>4.3739000000000001E-4</v>
      </c>
    </row>
    <row r="4277" spans="1:2" x14ac:dyDescent="0.25">
      <c r="A4277" s="6">
        <v>42013</v>
      </c>
      <c r="B4277">
        <v>4.3739000000000001E-4</v>
      </c>
    </row>
    <row r="4278" spans="1:2" x14ac:dyDescent="0.25">
      <c r="A4278" s="6">
        <v>42016</v>
      </c>
      <c r="B4278">
        <v>4.3739000000000001E-4</v>
      </c>
    </row>
    <row r="4279" spans="1:2" x14ac:dyDescent="0.25">
      <c r="A4279" s="6">
        <v>42017</v>
      </c>
      <c r="B4279">
        <v>4.3739000000000001E-4</v>
      </c>
    </row>
    <row r="4280" spans="1:2" x14ac:dyDescent="0.25">
      <c r="A4280" s="6">
        <v>42018</v>
      </c>
      <c r="B4280">
        <v>4.3739000000000001E-4</v>
      </c>
    </row>
    <row r="4281" spans="1:2" x14ac:dyDescent="0.25">
      <c r="A4281" s="6">
        <v>42019</v>
      </c>
      <c r="B4281">
        <v>4.3739000000000001E-4</v>
      </c>
    </row>
    <row r="4282" spans="1:2" x14ac:dyDescent="0.25">
      <c r="A4282" s="6">
        <v>42020</v>
      </c>
      <c r="B4282">
        <v>4.3739000000000001E-4</v>
      </c>
    </row>
    <row r="4283" spans="1:2" x14ac:dyDescent="0.25">
      <c r="A4283" s="6">
        <v>42023</v>
      </c>
      <c r="B4283">
        <v>4.3739000000000001E-4</v>
      </c>
    </row>
    <row r="4284" spans="1:2" x14ac:dyDescent="0.25">
      <c r="A4284" s="6">
        <v>42024</v>
      </c>
      <c r="B4284">
        <v>4.3739000000000001E-4</v>
      </c>
    </row>
    <row r="4285" spans="1:2" x14ac:dyDescent="0.25">
      <c r="A4285" s="6">
        <v>42025</v>
      </c>
      <c r="B4285">
        <v>4.3739000000000001E-4</v>
      </c>
    </row>
    <row r="4286" spans="1:2" x14ac:dyDescent="0.25">
      <c r="A4286" s="6">
        <v>42026</v>
      </c>
      <c r="B4286">
        <v>4.5512999999999999E-4</v>
      </c>
    </row>
    <row r="4287" spans="1:2" x14ac:dyDescent="0.25">
      <c r="A4287" s="6">
        <v>42027</v>
      </c>
      <c r="B4287">
        <v>4.5512999999999999E-4</v>
      </c>
    </row>
    <row r="4288" spans="1:2" x14ac:dyDescent="0.25">
      <c r="A4288" s="6">
        <v>42030</v>
      </c>
      <c r="B4288">
        <v>4.5512999999999999E-4</v>
      </c>
    </row>
    <row r="4289" spans="1:2" x14ac:dyDescent="0.25">
      <c r="A4289" s="6">
        <v>42031</v>
      </c>
      <c r="B4289">
        <v>4.5512999999999999E-4</v>
      </c>
    </row>
    <row r="4290" spans="1:2" x14ac:dyDescent="0.25">
      <c r="A4290" s="6">
        <v>42032</v>
      </c>
      <c r="B4290">
        <v>4.5512999999999999E-4</v>
      </c>
    </row>
    <row r="4291" spans="1:2" x14ac:dyDescent="0.25">
      <c r="A4291" s="6">
        <v>42033</v>
      </c>
      <c r="B4291">
        <v>4.5512999999999999E-4</v>
      </c>
    </row>
    <row r="4292" spans="1:2" x14ac:dyDescent="0.25">
      <c r="A4292" s="6">
        <v>42034</v>
      </c>
      <c r="B4292">
        <v>4.5512999999999999E-4</v>
      </c>
    </row>
    <row r="4293" spans="1:2" x14ac:dyDescent="0.25">
      <c r="A4293" s="6">
        <v>42037</v>
      </c>
      <c r="B4293">
        <v>4.5512999999999999E-4</v>
      </c>
    </row>
    <row r="4294" spans="1:2" x14ac:dyDescent="0.25">
      <c r="A4294" s="6">
        <v>42038</v>
      </c>
      <c r="B4294">
        <v>4.5512999999999999E-4</v>
      </c>
    </row>
    <row r="4295" spans="1:2" x14ac:dyDescent="0.25">
      <c r="A4295" s="6">
        <v>42039</v>
      </c>
      <c r="B4295">
        <v>4.5512999999999999E-4</v>
      </c>
    </row>
    <row r="4296" spans="1:2" x14ac:dyDescent="0.25">
      <c r="A4296" s="6">
        <v>42040</v>
      </c>
      <c r="B4296">
        <v>4.5512999999999999E-4</v>
      </c>
    </row>
    <row r="4297" spans="1:2" x14ac:dyDescent="0.25">
      <c r="A4297" s="6">
        <v>42041</v>
      </c>
      <c r="B4297">
        <v>4.5512999999999999E-4</v>
      </c>
    </row>
    <row r="4298" spans="1:2" x14ac:dyDescent="0.25">
      <c r="A4298" s="6">
        <v>42044</v>
      </c>
      <c r="B4298">
        <v>4.5512999999999999E-4</v>
      </c>
    </row>
    <row r="4299" spans="1:2" x14ac:dyDescent="0.25">
      <c r="A4299" s="6">
        <v>42045</v>
      </c>
      <c r="B4299">
        <v>4.5512999999999999E-4</v>
      </c>
    </row>
    <row r="4300" spans="1:2" x14ac:dyDescent="0.25">
      <c r="A4300" s="6">
        <v>42046</v>
      </c>
      <c r="B4300">
        <v>4.5512999999999999E-4</v>
      </c>
    </row>
    <row r="4301" spans="1:2" x14ac:dyDescent="0.25">
      <c r="A4301" s="6">
        <v>42047</v>
      </c>
      <c r="B4301">
        <v>4.5512999999999999E-4</v>
      </c>
    </row>
    <row r="4302" spans="1:2" x14ac:dyDescent="0.25">
      <c r="A4302" s="6">
        <v>42048</v>
      </c>
      <c r="B4302">
        <v>4.5512999999999999E-4</v>
      </c>
    </row>
    <row r="4303" spans="1:2" x14ac:dyDescent="0.25">
      <c r="A4303" s="6">
        <v>42053</v>
      </c>
      <c r="B4303">
        <v>4.5512999999999999E-4</v>
      </c>
    </row>
    <row r="4304" spans="1:2" x14ac:dyDescent="0.25">
      <c r="A4304" s="6">
        <v>42054</v>
      </c>
      <c r="B4304">
        <v>4.5512999999999999E-4</v>
      </c>
    </row>
    <row r="4305" spans="1:2" x14ac:dyDescent="0.25">
      <c r="A4305" s="6">
        <v>42055</v>
      </c>
      <c r="B4305">
        <v>4.5512999999999999E-4</v>
      </c>
    </row>
    <row r="4306" spans="1:2" x14ac:dyDescent="0.25">
      <c r="A4306" s="6">
        <v>42058</v>
      </c>
      <c r="B4306">
        <v>4.5512999999999999E-4</v>
      </c>
    </row>
    <row r="4307" spans="1:2" x14ac:dyDescent="0.25">
      <c r="A4307" s="6">
        <v>42059</v>
      </c>
      <c r="B4307">
        <v>4.5512999999999999E-4</v>
      </c>
    </row>
    <row r="4308" spans="1:2" x14ac:dyDescent="0.25">
      <c r="A4308" s="6">
        <v>42060</v>
      </c>
      <c r="B4308">
        <v>4.5512999999999999E-4</v>
      </c>
    </row>
    <row r="4309" spans="1:2" x14ac:dyDescent="0.25">
      <c r="A4309" s="6">
        <v>42061</v>
      </c>
      <c r="B4309">
        <v>4.5512999999999999E-4</v>
      </c>
    </row>
    <row r="4310" spans="1:2" x14ac:dyDescent="0.25">
      <c r="A4310" s="6">
        <v>42062</v>
      </c>
      <c r="B4310">
        <v>4.5512999999999999E-4</v>
      </c>
    </row>
    <row r="4311" spans="1:2" x14ac:dyDescent="0.25">
      <c r="A4311" s="6">
        <v>42065</v>
      </c>
      <c r="B4311">
        <v>4.5512999999999999E-4</v>
      </c>
    </row>
    <row r="4312" spans="1:2" x14ac:dyDescent="0.25">
      <c r="A4312" s="6">
        <v>42066</v>
      </c>
      <c r="B4312">
        <v>4.5512999999999999E-4</v>
      </c>
    </row>
    <row r="4313" spans="1:2" x14ac:dyDescent="0.25">
      <c r="A4313" s="6">
        <v>42067</v>
      </c>
      <c r="B4313">
        <v>4.5512999999999999E-4</v>
      </c>
    </row>
    <row r="4314" spans="1:2" x14ac:dyDescent="0.25">
      <c r="A4314" s="6">
        <v>42068</v>
      </c>
      <c r="B4314">
        <v>4.7279E-4</v>
      </c>
    </row>
    <row r="4315" spans="1:2" x14ac:dyDescent="0.25">
      <c r="A4315" s="6">
        <v>42069</v>
      </c>
      <c r="B4315">
        <v>4.7279E-4</v>
      </c>
    </row>
    <row r="4316" spans="1:2" x14ac:dyDescent="0.25">
      <c r="A4316" s="6">
        <v>42072</v>
      </c>
      <c r="B4316">
        <v>4.7279E-4</v>
      </c>
    </row>
    <row r="4317" spans="1:2" x14ac:dyDescent="0.25">
      <c r="A4317" s="6">
        <v>42073</v>
      </c>
      <c r="B4317">
        <v>4.7279E-4</v>
      </c>
    </row>
    <row r="4318" spans="1:2" x14ac:dyDescent="0.25">
      <c r="A4318" s="6">
        <v>42074</v>
      </c>
      <c r="B4318">
        <v>4.7279E-4</v>
      </c>
    </row>
    <row r="4319" spans="1:2" x14ac:dyDescent="0.25">
      <c r="A4319" s="6">
        <v>42075</v>
      </c>
      <c r="B4319">
        <v>4.7279E-4</v>
      </c>
    </row>
    <row r="4320" spans="1:2" x14ac:dyDescent="0.25">
      <c r="A4320" s="6">
        <v>42076</v>
      </c>
      <c r="B4320">
        <v>4.7279E-4</v>
      </c>
    </row>
    <row r="4321" spans="1:2" x14ac:dyDescent="0.25">
      <c r="A4321" s="6">
        <v>42079</v>
      </c>
      <c r="B4321">
        <v>4.7279E-4</v>
      </c>
    </row>
    <row r="4322" spans="1:2" x14ac:dyDescent="0.25">
      <c r="A4322" s="6">
        <v>42080</v>
      </c>
      <c r="B4322">
        <v>4.7279E-4</v>
      </c>
    </row>
    <row r="4323" spans="1:2" x14ac:dyDescent="0.25">
      <c r="A4323" s="6">
        <v>42081</v>
      </c>
      <c r="B4323">
        <v>4.7279E-4</v>
      </c>
    </row>
    <row r="4324" spans="1:2" x14ac:dyDescent="0.25">
      <c r="A4324" s="6">
        <v>42082</v>
      </c>
      <c r="B4324">
        <v>4.7279E-4</v>
      </c>
    </row>
    <row r="4325" spans="1:2" x14ac:dyDescent="0.25">
      <c r="A4325" s="6">
        <v>42083</v>
      </c>
      <c r="B4325">
        <v>4.7279E-4</v>
      </c>
    </row>
    <row r="4326" spans="1:2" x14ac:dyDescent="0.25">
      <c r="A4326" s="6">
        <v>42086</v>
      </c>
      <c r="B4326">
        <v>4.7279E-4</v>
      </c>
    </row>
    <row r="4327" spans="1:2" x14ac:dyDescent="0.25">
      <c r="A4327" s="6">
        <v>42087</v>
      </c>
      <c r="B4327">
        <v>4.7279E-4</v>
      </c>
    </row>
    <row r="4328" spans="1:2" x14ac:dyDescent="0.25">
      <c r="A4328" s="6">
        <v>42088</v>
      </c>
      <c r="B4328">
        <v>4.7279E-4</v>
      </c>
    </row>
    <row r="4329" spans="1:2" x14ac:dyDescent="0.25">
      <c r="A4329" s="6">
        <v>42089</v>
      </c>
      <c r="B4329">
        <v>4.7279E-4</v>
      </c>
    </row>
    <row r="4330" spans="1:2" x14ac:dyDescent="0.25">
      <c r="A4330" s="6">
        <v>42090</v>
      </c>
      <c r="B4330">
        <v>4.7279E-4</v>
      </c>
    </row>
    <row r="4331" spans="1:2" x14ac:dyDescent="0.25">
      <c r="A4331" s="6">
        <v>42093</v>
      </c>
      <c r="B4331">
        <v>4.7279E-4</v>
      </c>
    </row>
    <row r="4332" spans="1:2" x14ac:dyDescent="0.25">
      <c r="A4332" s="6">
        <v>42094</v>
      </c>
      <c r="B4332">
        <v>4.7279E-4</v>
      </c>
    </row>
    <row r="4333" spans="1:2" x14ac:dyDescent="0.25">
      <c r="A4333" s="6">
        <v>42095</v>
      </c>
      <c r="B4333">
        <v>4.7279E-4</v>
      </c>
    </row>
    <row r="4334" spans="1:2" x14ac:dyDescent="0.25">
      <c r="A4334" s="6">
        <v>42096</v>
      </c>
      <c r="B4334">
        <v>4.7279E-4</v>
      </c>
    </row>
    <row r="4335" spans="1:2" x14ac:dyDescent="0.25">
      <c r="A4335" s="6">
        <v>42100</v>
      </c>
      <c r="B4335">
        <v>4.7279E-4</v>
      </c>
    </row>
    <row r="4336" spans="1:2" x14ac:dyDescent="0.25">
      <c r="A4336" s="6">
        <v>42101</v>
      </c>
      <c r="B4336">
        <v>4.7279E-4</v>
      </c>
    </row>
    <row r="4337" spans="1:2" x14ac:dyDescent="0.25">
      <c r="A4337" s="6">
        <v>42102</v>
      </c>
      <c r="B4337">
        <v>4.7279E-4</v>
      </c>
    </row>
    <row r="4338" spans="1:2" x14ac:dyDescent="0.25">
      <c r="A4338" s="6">
        <v>42103</v>
      </c>
      <c r="B4338">
        <v>4.7279E-4</v>
      </c>
    </row>
    <row r="4339" spans="1:2" x14ac:dyDescent="0.25">
      <c r="A4339" s="6">
        <v>42104</v>
      </c>
      <c r="B4339">
        <v>4.7279E-4</v>
      </c>
    </row>
    <row r="4340" spans="1:2" x14ac:dyDescent="0.25">
      <c r="A4340" s="6">
        <v>42107</v>
      </c>
      <c r="B4340">
        <v>4.7279E-4</v>
      </c>
    </row>
    <row r="4341" spans="1:2" x14ac:dyDescent="0.25">
      <c r="A4341" s="6">
        <v>42108</v>
      </c>
      <c r="B4341">
        <v>4.7279E-4</v>
      </c>
    </row>
    <row r="4342" spans="1:2" x14ac:dyDescent="0.25">
      <c r="A4342" s="6">
        <v>42109</v>
      </c>
      <c r="B4342">
        <v>4.7279E-4</v>
      </c>
    </row>
    <row r="4343" spans="1:2" x14ac:dyDescent="0.25">
      <c r="A4343" s="6">
        <v>42110</v>
      </c>
      <c r="B4343">
        <v>4.7279E-4</v>
      </c>
    </row>
    <row r="4344" spans="1:2" x14ac:dyDescent="0.25">
      <c r="A4344" s="6">
        <v>42111</v>
      </c>
      <c r="B4344">
        <v>4.7279E-4</v>
      </c>
    </row>
    <row r="4345" spans="1:2" x14ac:dyDescent="0.25">
      <c r="A4345" s="6">
        <v>42114</v>
      </c>
      <c r="B4345">
        <v>4.7279E-4</v>
      </c>
    </row>
    <row r="4346" spans="1:2" x14ac:dyDescent="0.25">
      <c r="A4346" s="6">
        <v>42116</v>
      </c>
      <c r="B4346">
        <v>4.7279E-4</v>
      </c>
    </row>
    <row r="4347" spans="1:2" x14ac:dyDescent="0.25">
      <c r="A4347" s="6">
        <v>42117</v>
      </c>
      <c r="B4347">
        <v>4.7279E-4</v>
      </c>
    </row>
    <row r="4348" spans="1:2" x14ac:dyDescent="0.25">
      <c r="A4348" s="6">
        <v>42118</v>
      </c>
      <c r="B4348">
        <v>4.7279E-4</v>
      </c>
    </row>
    <row r="4349" spans="1:2" x14ac:dyDescent="0.25">
      <c r="A4349" s="6">
        <v>42121</v>
      </c>
      <c r="B4349">
        <v>4.7314000000000004E-4</v>
      </c>
    </row>
    <row r="4350" spans="1:2" x14ac:dyDescent="0.25">
      <c r="A4350" s="6">
        <v>42122</v>
      </c>
      <c r="B4350">
        <v>4.7350000000000002E-4</v>
      </c>
    </row>
    <row r="4351" spans="1:2" x14ac:dyDescent="0.25">
      <c r="A4351" s="6">
        <v>42123</v>
      </c>
      <c r="B4351">
        <v>4.7350000000000002E-4</v>
      </c>
    </row>
    <row r="4352" spans="1:2" x14ac:dyDescent="0.25">
      <c r="A4352" s="6">
        <v>42124</v>
      </c>
      <c r="B4352">
        <v>4.9036999999999996E-4</v>
      </c>
    </row>
    <row r="4353" spans="1:2" x14ac:dyDescent="0.25">
      <c r="A4353" s="6">
        <v>42128</v>
      </c>
      <c r="B4353">
        <v>4.9036999999999996E-4</v>
      </c>
    </row>
    <row r="4354" spans="1:2" x14ac:dyDescent="0.25">
      <c r="A4354" s="6">
        <v>42129</v>
      </c>
      <c r="B4354">
        <v>4.9036999999999996E-4</v>
      </c>
    </row>
    <row r="4355" spans="1:2" x14ac:dyDescent="0.25">
      <c r="A4355" s="6">
        <v>42130</v>
      </c>
      <c r="B4355">
        <v>4.9036999999999996E-4</v>
      </c>
    </row>
    <row r="4356" spans="1:2" x14ac:dyDescent="0.25">
      <c r="A4356" s="6">
        <v>42131</v>
      </c>
      <c r="B4356">
        <v>4.9036999999999996E-4</v>
      </c>
    </row>
    <row r="4357" spans="1:2" x14ac:dyDescent="0.25">
      <c r="A4357" s="6">
        <v>42132</v>
      </c>
      <c r="B4357">
        <v>4.9036999999999996E-4</v>
      </c>
    </row>
    <row r="4358" spans="1:2" x14ac:dyDescent="0.25">
      <c r="A4358" s="6">
        <v>42135</v>
      </c>
      <c r="B4358">
        <v>4.9036999999999996E-4</v>
      </c>
    </row>
    <row r="4359" spans="1:2" x14ac:dyDescent="0.25">
      <c r="A4359" s="6">
        <v>42136</v>
      </c>
      <c r="B4359">
        <v>4.9036999999999996E-4</v>
      </c>
    </row>
    <row r="4360" spans="1:2" x14ac:dyDescent="0.25">
      <c r="A4360" s="6">
        <v>42137</v>
      </c>
      <c r="B4360">
        <v>4.9036999999999996E-4</v>
      </c>
    </row>
    <row r="4361" spans="1:2" x14ac:dyDescent="0.25">
      <c r="A4361" s="6">
        <v>42138</v>
      </c>
      <c r="B4361">
        <v>4.9036999999999996E-4</v>
      </c>
    </row>
    <row r="4362" spans="1:2" x14ac:dyDescent="0.25">
      <c r="A4362" s="6">
        <v>42139</v>
      </c>
      <c r="B4362">
        <v>4.9036999999999996E-4</v>
      </c>
    </row>
    <row r="4363" spans="1:2" x14ac:dyDescent="0.25">
      <c r="A4363" s="6">
        <v>42142</v>
      </c>
      <c r="B4363">
        <v>4.9036999999999996E-4</v>
      </c>
    </row>
    <row r="4364" spans="1:2" x14ac:dyDescent="0.25">
      <c r="A4364" s="6">
        <v>42143</v>
      </c>
      <c r="B4364">
        <v>4.9036999999999996E-4</v>
      </c>
    </row>
    <row r="4365" spans="1:2" x14ac:dyDescent="0.25">
      <c r="A4365" s="6">
        <v>42144</v>
      </c>
      <c r="B4365">
        <v>4.9036999999999996E-4</v>
      </c>
    </row>
    <row r="4366" spans="1:2" x14ac:dyDescent="0.25">
      <c r="A4366" s="6">
        <v>42145</v>
      </c>
      <c r="B4366">
        <v>4.9036999999999996E-4</v>
      </c>
    </row>
    <row r="4367" spans="1:2" x14ac:dyDescent="0.25">
      <c r="A4367" s="6">
        <v>42146</v>
      </c>
      <c r="B4367">
        <v>4.9036999999999996E-4</v>
      </c>
    </row>
    <row r="4368" spans="1:2" x14ac:dyDescent="0.25">
      <c r="A4368" s="6">
        <v>42149</v>
      </c>
      <c r="B4368">
        <v>4.9036999999999996E-4</v>
      </c>
    </row>
    <row r="4369" spans="1:2" x14ac:dyDescent="0.25">
      <c r="A4369" s="6">
        <v>42150</v>
      </c>
      <c r="B4369">
        <v>4.9036999999999996E-4</v>
      </c>
    </row>
    <row r="4370" spans="1:2" x14ac:dyDescent="0.25">
      <c r="A4370" s="6">
        <v>42151</v>
      </c>
      <c r="B4370">
        <v>4.9036999999999996E-4</v>
      </c>
    </row>
    <row r="4371" spans="1:2" x14ac:dyDescent="0.25">
      <c r="A4371" s="6">
        <v>42152</v>
      </c>
      <c r="B4371">
        <v>4.9036999999999996E-4</v>
      </c>
    </row>
    <row r="4372" spans="1:2" x14ac:dyDescent="0.25">
      <c r="A4372" s="6">
        <v>42153</v>
      </c>
      <c r="B4372">
        <v>4.9036999999999996E-4</v>
      </c>
    </row>
    <row r="4373" spans="1:2" x14ac:dyDescent="0.25">
      <c r="A4373" s="6">
        <v>42156</v>
      </c>
      <c r="B4373">
        <v>4.9036999999999996E-4</v>
      </c>
    </row>
    <row r="4374" spans="1:2" x14ac:dyDescent="0.25">
      <c r="A4374" s="6">
        <v>42157</v>
      </c>
      <c r="B4374">
        <v>4.9036999999999996E-4</v>
      </c>
    </row>
    <row r="4375" spans="1:2" x14ac:dyDescent="0.25">
      <c r="A4375" s="6">
        <v>42158</v>
      </c>
      <c r="B4375">
        <v>4.9036999999999996E-4</v>
      </c>
    </row>
    <row r="4376" spans="1:2" x14ac:dyDescent="0.25">
      <c r="A4376" s="6">
        <v>42160</v>
      </c>
      <c r="B4376">
        <v>5.0788000000000005E-4</v>
      </c>
    </row>
    <row r="4377" spans="1:2" x14ac:dyDescent="0.25">
      <c r="A4377" s="6">
        <v>42163</v>
      </c>
      <c r="B4377">
        <v>5.0788000000000005E-4</v>
      </c>
    </row>
    <row r="4378" spans="1:2" x14ac:dyDescent="0.25">
      <c r="A4378" s="6">
        <v>42164</v>
      </c>
      <c r="B4378">
        <v>5.0788000000000005E-4</v>
      </c>
    </row>
    <row r="4379" spans="1:2" x14ac:dyDescent="0.25">
      <c r="A4379" s="6">
        <v>42165</v>
      </c>
      <c r="B4379">
        <v>5.0788000000000005E-4</v>
      </c>
    </row>
    <row r="4380" spans="1:2" x14ac:dyDescent="0.25">
      <c r="A4380" s="6">
        <v>42166</v>
      </c>
      <c r="B4380">
        <v>5.0788000000000005E-4</v>
      </c>
    </row>
    <row r="4381" spans="1:2" x14ac:dyDescent="0.25">
      <c r="A4381" s="6">
        <v>42167</v>
      </c>
      <c r="B4381">
        <v>5.0788000000000005E-4</v>
      </c>
    </row>
    <row r="4382" spans="1:2" x14ac:dyDescent="0.25">
      <c r="A4382" s="6">
        <v>42170</v>
      </c>
      <c r="B4382">
        <v>5.0788000000000005E-4</v>
      </c>
    </row>
    <row r="4383" spans="1:2" x14ac:dyDescent="0.25">
      <c r="A4383" s="6">
        <v>42171</v>
      </c>
      <c r="B4383">
        <v>5.0788000000000005E-4</v>
      </c>
    </row>
    <row r="4384" spans="1:2" x14ac:dyDescent="0.25">
      <c r="A4384" s="6">
        <v>42172</v>
      </c>
      <c r="B4384">
        <v>5.0788000000000005E-4</v>
      </c>
    </row>
    <row r="4385" spans="1:2" x14ac:dyDescent="0.25">
      <c r="A4385" s="6">
        <v>42173</v>
      </c>
      <c r="B4385">
        <v>5.0788000000000005E-4</v>
      </c>
    </row>
    <row r="4386" spans="1:2" x14ac:dyDescent="0.25">
      <c r="A4386" s="6">
        <v>42174</v>
      </c>
      <c r="B4386">
        <v>5.0788000000000005E-4</v>
      </c>
    </row>
    <row r="4387" spans="1:2" x14ac:dyDescent="0.25">
      <c r="A4387" s="6">
        <v>42177</v>
      </c>
      <c r="B4387">
        <v>5.0788000000000005E-4</v>
      </c>
    </row>
    <row r="4388" spans="1:2" x14ac:dyDescent="0.25">
      <c r="A4388" s="6">
        <v>42178</v>
      </c>
      <c r="B4388">
        <v>5.0788000000000005E-4</v>
      </c>
    </row>
    <row r="4389" spans="1:2" x14ac:dyDescent="0.25">
      <c r="A4389" s="6">
        <v>42179</v>
      </c>
      <c r="B4389">
        <v>5.0788000000000005E-4</v>
      </c>
    </row>
    <row r="4390" spans="1:2" x14ac:dyDescent="0.25">
      <c r="A4390" s="6">
        <v>42180</v>
      </c>
      <c r="B4390">
        <v>5.0788000000000005E-4</v>
      </c>
    </row>
    <row r="4391" spans="1:2" x14ac:dyDescent="0.25">
      <c r="A4391" s="6">
        <v>42181</v>
      </c>
      <c r="B4391">
        <v>5.0788000000000005E-4</v>
      </c>
    </row>
    <row r="4392" spans="1:2" x14ac:dyDescent="0.25">
      <c r="A4392" s="6">
        <v>42184</v>
      </c>
      <c r="B4392">
        <v>5.0788000000000005E-4</v>
      </c>
    </row>
    <row r="4393" spans="1:2" x14ac:dyDescent="0.25">
      <c r="A4393" s="6">
        <v>42185</v>
      </c>
      <c r="B4393">
        <v>5.0788000000000005E-4</v>
      </c>
    </row>
    <row r="4394" spans="1:2" x14ac:dyDescent="0.25">
      <c r="A4394" s="6">
        <v>42186</v>
      </c>
      <c r="B4394">
        <v>5.0788000000000005E-4</v>
      </c>
    </row>
    <row r="4395" spans="1:2" x14ac:dyDescent="0.25">
      <c r="A4395" s="6">
        <v>42187</v>
      </c>
      <c r="B4395">
        <v>5.0788000000000005E-4</v>
      </c>
    </row>
    <row r="4396" spans="1:2" x14ac:dyDescent="0.25">
      <c r="A4396" s="6">
        <v>42188</v>
      </c>
      <c r="B4396">
        <v>5.0788000000000005E-4</v>
      </c>
    </row>
    <row r="4397" spans="1:2" x14ac:dyDescent="0.25">
      <c r="A4397" s="6">
        <v>42191</v>
      </c>
      <c r="B4397">
        <v>5.0788000000000005E-4</v>
      </c>
    </row>
    <row r="4398" spans="1:2" x14ac:dyDescent="0.25">
      <c r="A4398" s="6">
        <v>42192</v>
      </c>
      <c r="B4398">
        <v>5.0788000000000005E-4</v>
      </c>
    </row>
    <row r="4399" spans="1:2" x14ac:dyDescent="0.25">
      <c r="A4399" s="6">
        <v>42193</v>
      </c>
      <c r="B4399">
        <v>5.0788000000000005E-4</v>
      </c>
    </row>
    <row r="4400" spans="1:2" x14ac:dyDescent="0.25">
      <c r="A4400" s="6">
        <v>42194</v>
      </c>
      <c r="B4400">
        <v>5.0788000000000005E-4</v>
      </c>
    </row>
    <row r="4401" spans="1:2" x14ac:dyDescent="0.25">
      <c r="A4401" s="6">
        <v>42195</v>
      </c>
      <c r="B4401">
        <v>5.0788000000000005E-4</v>
      </c>
    </row>
    <row r="4402" spans="1:2" x14ac:dyDescent="0.25">
      <c r="A4402" s="6">
        <v>42198</v>
      </c>
      <c r="B4402">
        <v>5.0788000000000005E-4</v>
      </c>
    </row>
    <row r="4403" spans="1:2" x14ac:dyDescent="0.25">
      <c r="A4403" s="6">
        <v>42199</v>
      </c>
      <c r="B4403">
        <v>5.0788000000000005E-4</v>
      </c>
    </row>
    <row r="4404" spans="1:2" x14ac:dyDescent="0.25">
      <c r="A4404" s="6">
        <v>42200</v>
      </c>
      <c r="B4404">
        <v>5.0788000000000005E-4</v>
      </c>
    </row>
    <row r="4405" spans="1:2" x14ac:dyDescent="0.25">
      <c r="A4405" s="6">
        <v>42201</v>
      </c>
      <c r="B4405">
        <v>5.0788000000000005E-4</v>
      </c>
    </row>
    <row r="4406" spans="1:2" x14ac:dyDescent="0.25">
      <c r="A4406" s="6">
        <v>42202</v>
      </c>
      <c r="B4406">
        <v>5.0788000000000005E-4</v>
      </c>
    </row>
    <row r="4407" spans="1:2" x14ac:dyDescent="0.25">
      <c r="A4407" s="6">
        <v>42205</v>
      </c>
      <c r="B4407">
        <v>5.0788000000000005E-4</v>
      </c>
    </row>
    <row r="4408" spans="1:2" x14ac:dyDescent="0.25">
      <c r="A4408" s="6">
        <v>42206</v>
      </c>
      <c r="B4408">
        <v>5.0788000000000005E-4</v>
      </c>
    </row>
    <row r="4409" spans="1:2" x14ac:dyDescent="0.25">
      <c r="A4409" s="6">
        <v>42207</v>
      </c>
      <c r="B4409">
        <v>5.0788000000000005E-4</v>
      </c>
    </row>
    <row r="4410" spans="1:2" x14ac:dyDescent="0.25">
      <c r="A4410" s="6">
        <v>42208</v>
      </c>
      <c r="B4410">
        <v>5.0788000000000005E-4</v>
      </c>
    </row>
    <row r="4411" spans="1:2" x14ac:dyDescent="0.25">
      <c r="A4411" s="6">
        <v>42209</v>
      </c>
      <c r="B4411">
        <v>5.0788000000000005E-4</v>
      </c>
    </row>
    <row r="4412" spans="1:2" x14ac:dyDescent="0.25">
      <c r="A4412" s="6">
        <v>42212</v>
      </c>
      <c r="B4412">
        <v>5.0788000000000005E-4</v>
      </c>
    </row>
    <row r="4413" spans="1:2" x14ac:dyDescent="0.25">
      <c r="A4413" s="6">
        <v>42213</v>
      </c>
      <c r="B4413">
        <v>5.0788000000000005E-4</v>
      </c>
    </row>
    <row r="4414" spans="1:2" x14ac:dyDescent="0.25">
      <c r="A4414" s="6">
        <v>42214</v>
      </c>
      <c r="B4414">
        <v>5.0788000000000005E-4</v>
      </c>
    </row>
    <row r="4415" spans="1:2" x14ac:dyDescent="0.25">
      <c r="A4415" s="6">
        <v>42215</v>
      </c>
      <c r="B4415">
        <v>5.2530999999999997E-4</v>
      </c>
    </row>
    <row r="4416" spans="1:2" x14ac:dyDescent="0.25">
      <c r="A4416" s="6">
        <v>42216</v>
      </c>
      <c r="B4416">
        <v>5.2530999999999997E-4</v>
      </c>
    </row>
    <row r="4417" spans="1:2" x14ac:dyDescent="0.25">
      <c r="A4417" s="6">
        <v>42219</v>
      </c>
      <c r="B4417">
        <v>5.2530999999999997E-4</v>
      </c>
    </row>
    <row r="4418" spans="1:2" x14ac:dyDescent="0.25">
      <c r="A4418" s="6">
        <v>42220</v>
      </c>
      <c r="B4418">
        <v>5.2530999999999997E-4</v>
      </c>
    </row>
    <row r="4419" spans="1:2" x14ac:dyDescent="0.25">
      <c r="A4419" s="6">
        <v>42221</v>
      </c>
      <c r="B4419">
        <v>5.2530999999999997E-4</v>
      </c>
    </row>
    <row r="4420" spans="1:2" x14ac:dyDescent="0.25">
      <c r="A4420" s="6">
        <v>42222</v>
      </c>
      <c r="B4420">
        <v>5.2530999999999997E-4</v>
      </c>
    </row>
    <row r="4421" spans="1:2" x14ac:dyDescent="0.25">
      <c r="A4421" s="6">
        <v>42223</v>
      </c>
      <c r="B4421">
        <v>5.2530999999999997E-4</v>
      </c>
    </row>
    <row r="4422" spans="1:2" x14ac:dyDescent="0.25">
      <c r="A4422" s="6">
        <v>42226</v>
      </c>
      <c r="B4422">
        <v>5.2530999999999997E-4</v>
      </c>
    </row>
    <row r="4423" spans="1:2" x14ac:dyDescent="0.25">
      <c r="A4423" s="6">
        <v>42227</v>
      </c>
      <c r="B4423">
        <v>5.2530999999999997E-4</v>
      </c>
    </row>
    <row r="4424" spans="1:2" x14ac:dyDescent="0.25">
      <c r="A4424" s="6">
        <v>42228</v>
      </c>
      <c r="B4424">
        <v>5.2530999999999997E-4</v>
      </c>
    </row>
    <row r="4425" spans="1:2" x14ac:dyDescent="0.25">
      <c r="A4425" s="6">
        <v>42229</v>
      </c>
      <c r="B4425">
        <v>5.2530999999999997E-4</v>
      </c>
    </row>
    <row r="4426" spans="1:2" x14ac:dyDescent="0.25">
      <c r="A4426" s="6">
        <v>42230</v>
      </c>
      <c r="B4426">
        <v>5.2530999999999997E-4</v>
      </c>
    </row>
    <row r="4427" spans="1:2" x14ac:dyDescent="0.25">
      <c r="A4427" s="6">
        <v>42233</v>
      </c>
      <c r="B4427">
        <v>5.2530999999999997E-4</v>
      </c>
    </row>
    <row r="4428" spans="1:2" x14ac:dyDescent="0.25">
      <c r="A4428" s="6">
        <v>42234</v>
      </c>
      <c r="B4428">
        <v>5.2530999999999997E-4</v>
      </c>
    </row>
    <row r="4429" spans="1:2" x14ac:dyDescent="0.25">
      <c r="A4429" s="6">
        <v>42235</v>
      </c>
      <c r="B4429">
        <v>5.2530999999999997E-4</v>
      </c>
    </row>
    <row r="4430" spans="1:2" x14ac:dyDescent="0.25">
      <c r="A4430" s="6">
        <v>42236</v>
      </c>
      <c r="B4430">
        <v>5.2530999999999997E-4</v>
      </c>
    </row>
    <row r="4431" spans="1:2" x14ac:dyDescent="0.25">
      <c r="A4431" s="6">
        <v>42237</v>
      </c>
      <c r="B4431">
        <v>5.2530999999999997E-4</v>
      </c>
    </row>
    <row r="4432" spans="1:2" x14ac:dyDescent="0.25">
      <c r="A4432" s="6">
        <v>42240</v>
      </c>
      <c r="B4432">
        <v>5.2530999999999997E-4</v>
      </c>
    </row>
    <row r="4433" spans="1:2" x14ac:dyDescent="0.25">
      <c r="A4433" s="6">
        <v>42241</v>
      </c>
      <c r="B4433">
        <v>5.2530999999999997E-4</v>
      </c>
    </row>
    <row r="4434" spans="1:2" x14ac:dyDescent="0.25">
      <c r="A4434" s="6">
        <v>42242</v>
      </c>
      <c r="B4434">
        <v>5.2530999999999997E-4</v>
      </c>
    </row>
    <row r="4435" spans="1:2" x14ac:dyDescent="0.25">
      <c r="A4435" s="6">
        <v>42243</v>
      </c>
      <c r="B4435">
        <v>5.2530999999999997E-4</v>
      </c>
    </row>
    <row r="4436" spans="1:2" x14ac:dyDescent="0.25">
      <c r="A4436" s="6">
        <v>42244</v>
      </c>
      <c r="B4436">
        <v>5.2530999999999997E-4</v>
      </c>
    </row>
    <row r="4437" spans="1:2" x14ac:dyDescent="0.25">
      <c r="A4437" s="6">
        <v>42247</v>
      </c>
      <c r="B4437">
        <v>5.2530999999999997E-4</v>
      </c>
    </row>
    <row r="4438" spans="1:2" x14ac:dyDescent="0.25">
      <c r="A4438" s="6">
        <v>42248</v>
      </c>
      <c r="B4438">
        <v>5.2530999999999997E-4</v>
      </c>
    </row>
    <row r="4439" spans="1:2" x14ac:dyDescent="0.25">
      <c r="A4439" s="6">
        <v>42249</v>
      </c>
      <c r="B4439">
        <v>5.2530999999999997E-4</v>
      </c>
    </row>
    <row r="4440" spans="1:2" x14ac:dyDescent="0.25">
      <c r="A4440" s="6">
        <v>42250</v>
      </c>
      <c r="B4440">
        <v>5.2530999999999997E-4</v>
      </c>
    </row>
    <row r="4441" spans="1:2" x14ac:dyDescent="0.25">
      <c r="A4441" s="6">
        <v>42251</v>
      </c>
      <c r="B4441">
        <v>5.2530999999999997E-4</v>
      </c>
    </row>
    <row r="4442" spans="1:2" x14ac:dyDescent="0.25">
      <c r="A4442" s="6">
        <v>42255</v>
      </c>
      <c r="B4442">
        <v>5.2530999999999997E-4</v>
      </c>
    </row>
    <row r="4443" spans="1:2" x14ac:dyDescent="0.25">
      <c r="A4443" s="6">
        <v>42256</v>
      </c>
      <c r="B4443">
        <v>5.2530999999999997E-4</v>
      </c>
    </row>
    <row r="4444" spans="1:2" x14ac:dyDescent="0.25">
      <c r="A4444" s="6">
        <v>42257</v>
      </c>
      <c r="B4444">
        <v>5.2530999999999997E-4</v>
      </c>
    </row>
    <row r="4445" spans="1:2" x14ac:dyDescent="0.25">
      <c r="A4445" s="6">
        <v>42258</v>
      </c>
      <c r="B4445">
        <v>5.2530999999999997E-4</v>
      </c>
    </row>
    <row r="4446" spans="1:2" x14ac:dyDescent="0.25">
      <c r="A4446" s="6">
        <v>42261</v>
      </c>
      <c r="B4446">
        <v>5.2530999999999997E-4</v>
      </c>
    </row>
    <row r="4447" spans="1:2" x14ac:dyDescent="0.25">
      <c r="A4447" s="6">
        <v>42262</v>
      </c>
      <c r="B4447">
        <v>5.2530999999999997E-4</v>
      </c>
    </row>
    <row r="4448" spans="1:2" x14ac:dyDescent="0.25">
      <c r="A4448" s="6">
        <v>42263</v>
      </c>
      <c r="B4448">
        <v>5.2530999999999997E-4</v>
      </c>
    </row>
    <row r="4449" spans="1:2" x14ac:dyDescent="0.25">
      <c r="A4449" s="6">
        <v>42264</v>
      </c>
      <c r="B4449">
        <v>5.2530999999999997E-4</v>
      </c>
    </row>
    <row r="4450" spans="1:2" x14ac:dyDescent="0.25">
      <c r="A4450" s="6">
        <v>42265</v>
      </c>
      <c r="B4450">
        <v>5.2530999999999997E-4</v>
      </c>
    </row>
    <row r="4451" spans="1:2" x14ac:dyDescent="0.25">
      <c r="A4451" s="6">
        <v>42268</v>
      </c>
      <c r="B4451">
        <v>5.2530999999999997E-4</v>
      </c>
    </row>
    <row r="4452" spans="1:2" x14ac:dyDescent="0.25">
      <c r="A4452" s="6">
        <v>42269</v>
      </c>
      <c r="B4452">
        <v>5.2530999999999997E-4</v>
      </c>
    </row>
    <row r="4453" spans="1:2" x14ac:dyDescent="0.25">
      <c r="A4453" s="6">
        <v>42270</v>
      </c>
      <c r="B4453">
        <v>5.2530999999999997E-4</v>
      </c>
    </row>
    <row r="4454" spans="1:2" x14ac:dyDescent="0.25">
      <c r="A4454" s="6">
        <v>42271</v>
      </c>
      <c r="B4454">
        <v>5.2530999999999997E-4</v>
      </c>
    </row>
    <row r="4455" spans="1:2" x14ac:dyDescent="0.25">
      <c r="A4455" s="6">
        <v>42272</v>
      </c>
      <c r="B4455">
        <v>5.2530999999999997E-4</v>
      </c>
    </row>
    <row r="4456" spans="1:2" x14ac:dyDescent="0.25">
      <c r="A4456" s="6">
        <v>42275</v>
      </c>
      <c r="B4456">
        <v>5.2530999999999997E-4</v>
      </c>
    </row>
    <row r="4457" spans="1:2" x14ac:dyDescent="0.25">
      <c r="A4457" s="6">
        <v>42276</v>
      </c>
      <c r="B4457">
        <v>5.2530999999999997E-4</v>
      </c>
    </row>
    <row r="4458" spans="1:2" x14ac:dyDescent="0.25">
      <c r="A4458" s="6">
        <v>42277</v>
      </c>
      <c r="B4458">
        <v>5.2530999999999997E-4</v>
      </c>
    </row>
    <row r="4459" spans="1:2" x14ac:dyDescent="0.25">
      <c r="A4459" s="6">
        <v>42278</v>
      </c>
      <c r="B4459">
        <v>5.2530999999999997E-4</v>
      </c>
    </row>
    <row r="4460" spans="1:2" x14ac:dyDescent="0.25">
      <c r="A4460" s="6">
        <v>42279</v>
      </c>
      <c r="B4460">
        <v>5.2530999999999997E-4</v>
      </c>
    </row>
    <row r="4461" spans="1:2" x14ac:dyDescent="0.25">
      <c r="A4461" s="6">
        <v>42282</v>
      </c>
      <c r="B4461">
        <v>5.2530999999999997E-4</v>
      </c>
    </row>
    <row r="4462" spans="1:2" x14ac:dyDescent="0.25">
      <c r="A4462" s="6">
        <v>42283</v>
      </c>
      <c r="B4462">
        <v>5.2530999999999997E-4</v>
      </c>
    </row>
    <row r="4463" spans="1:2" x14ac:dyDescent="0.25">
      <c r="A4463" s="6">
        <v>42284</v>
      </c>
      <c r="B4463">
        <v>5.2530999999999997E-4</v>
      </c>
    </row>
    <row r="4464" spans="1:2" x14ac:dyDescent="0.25">
      <c r="A4464" s="6">
        <v>42285</v>
      </c>
      <c r="B4464">
        <v>5.2530999999999997E-4</v>
      </c>
    </row>
    <row r="4465" spans="1:2" x14ac:dyDescent="0.25">
      <c r="A4465" s="6">
        <v>42286</v>
      </c>
      <c r="B4465">
        <v>5.2530999999999997E-4</v>
      </c>
    </row>
    <row r="4466" spans="1:2" x14ac:dyDescent="0.25">
      <c r="A4466" s="6">
        <v>42290</v>
      </c>
      <c r="B4466">
        <v>5.2530999999999997E-4</v>
      </c>
    </row>
    <row r="4467" spans="1:2" x14ac:dyDescent="0.25">
      <c r="A4467" s="6">
        <v>42291</v>
      </c>
      <c r="B4467">
        <v>5.2530999999999997E-4</v>
      </c>
    </row>
    <row r="4468" spans="1:2" x14ac:dyDescent="0.25">
      <c r="A4468" s="6">
        <v>42292</v>
      </c>
      <c r="B4468">
        <v>5.2530999999999997E-4</v>
      </c>
    </row>
    <row r="4469" spans="1:2" x14ac:dyDescent="0.25">
      <c r="A4469" s="6">
        <v>42293</v>
      </c>
      <c r="B4469">
        <v>5.2530999999999997E-4</v>
      </c>
    </row>
    <row r="4470" spans="1:2" x14ac:dyDescent="0.25">
      <c r="A4470" s="6">
        <v>42296</v>
      </c>
      <c r="B4470">
        <v>5.2530999999999997E-4</v>
      </c>
    </row>
    <row r="4471" spans="1:2" x14ac:dyDescent="0.25">
      <c r="A4471" s="6">
        <v>42297</v>
      </c>
      <c r="B4471">
        <v>5.2530999999999997E-4</v>
      </c>
    </row>
    <row r="4472" spans="1:2" x14ac:dyDescent="0.25">
      <c r="A4472" s="6">
        <v>42298</v>
      </c>
      <c r="B4472">
        <v>5.2530999999999997E-4</v>
      </c>
    </row>
    <row r="4473" spans="1:2" x14ac:dyDescent="0.25">
      <c r="A4473" s="6">
        <v>42299</v>
      </c>
      <c r="B4473">
        <v>5.2530999999999997E-4</v>
      </c>
    </row>
    <row r="4474" spans="1:2" x14ac:dyDescent="0.25">
      <c r="A4474" s="6">
        <v>42300</v>
      </c>
      <c r="B4474">
        <v>5.2530999999999997E-4</v>
      </c>
    </row>
    <row r="4475" spans="1:2" x14ac:dyDescent="0.25">
      <c r="A4475" s="6">
        <v>42303</v>
      </c>
      <c r="B4475">
        <v>5.2530999999999997E-4</v>
      </c>
    </row>
    <row r="4476" spans="1:2" x14ac:dyDescent="0.25">
      <c r="A4476" s="6">
        <v>42304</v>
      </c>
      <c r="B4476">
        <v>5.2530999999999997E-4</v>
      </c>
    </row>
    <row r="4477" spans="1:2" x14ac:dyDescent="0.25">
      <c r="A4477" s="6">
        <v>42305</v>
      </c>
      <c r="B4477">
        <v>5.2530999999999997E-4</v>
      </c>
    </row>
    <row r="4478" spans="1:2" x14ac:dyDescent="0.25">
      <c r="A4478" s="6">
        <v>42306</v>
      </c>
      <c r="B4478">
        <v>5.2530999999999997E-4</v>
      </c>
    </row>
    <row r="4479" spans="1:2" x14ac:dyDescent="0.25">
      <c r="A4479" s="6">
        <v>42307</v>
      </c>
      <c r="B4479">
        <v>5.2530999999999997E-4</v>
      </c>
    </row>
    <row r="4480" spans="1:2" x14ac:dyDescent="0.25">
      <c r="A4480" s="6">
        <v>42311</v>
      </c>
      <c r="B4480">
        <v>5.2530999999999997E-4</v>
      </c>
    </row>
    <row r="4481" spans="1:2" x14ac:dyDescent="0.25">
      <c r="A4481" s="6">
        <v>42312</v>
      </c>
      <c r="B4481">
        <v>5.2530999999999997E-4</v>
      </c>
    </row>
    <row r="4482" spans="1:2" x14ac:dyDescent="0.25">
      <c r="A4482" s="6">
        <v>42313</v>
      </c>
      <c r="B4482">
        <v>5.2530999999999997E-4</v>
      </c>
    </row>
    <row r="4483" spans="1:2" x14ac:dyDescent="0.25">
      <c r="A4483" s="6">
        <v>42314</v>
      </c>
      <c r="B4483">
        <v>5.2530999999999997E-4</v>
      </c>
    </row>
    <row r="4484" spans="1:2" x14ac:dyDescent="0.25">
      <c r="A4484" s="6">
        <v>42317</v>
      </c>
      <c r="B4484">
        <v>5.2530999999999997E-4</v>
      </c>
    </row>
    <row r="4485" spans="1:2" x14ac:dyDescent="0.25">
      <c r="A4485" s="6">
        <v>42318</v>
      </c>
      <c r="B4485">
        <v>5.2530999999999997E-4</v>
      </c>
    </row>
    <row r="4486" spans="1:2" x14ac:dyDescent="0.25">
      <c r="A4486" s="6">
        <v>42319</v>
      </c>
      <c r="B4486">
        <v>5.2530999999999997E-4</v>
      </c>
    </row>
    <row r="4487" spans="1:2" x14ac:dyDescent="0.25">
      <c r="A4487" s="6">
        <v>42320</v>
      </c>
      <c r="B4487">
        <v>5.2530999999999997E-4</v>
      </c>
    </row>
    <row r="4488" spans="1:2" x14ac:dyDescent="0.25">
      <c r="A4488" s="6">
        <v>42321</v>
      </c>
      <c r="B4488">
        <v>5.2530999999999997E-4</v>
      </c>
    </row>
    <row r="4489" spans="1:2" x14ac:dyDescent="0.25">
      <c r="A4489" s="6">
        <v>42324</v>
      </c>
      <c r="B4489">
        <v>5.2530999999999997E-4</v>
      </c>
    </row>
    <row r="4490" spans="1:2" x14ac:dyDescent="0.25">
      <c r="A4490" s="6">
        <v>42325</v>
      </c>
      <c r="B4490">
        <v>5.2530999999999997E-4</v>
      </c>
    </row>
    <row r="4491" spans="1:2" x14ac:dyDescent="0.25">
      <c r="A4491" s="6">
        <v>42326</v>
      </c>
      <c r="B4491">
        <v>5.2530999999999997E-4</v>
      </c>
    </row>
    <row r="4492" spans="1:2" x14ac:dyDescent="0.25">
      <c r="A4492" s="6">
        <v>42327</v>
      </c>
      <c r="B4492">
        <v>5.2530999999999997E-4</v>
      </c>
    </row>
    <row r="4493" spans="1:2" x14ac:dyDescent="0.25">
      <c r="A4493" s="6">
        <v>42328</v>
      </c>
      <c r="B4493">
        <v>5.2530999999999997E-4</v>
      </c>
    </row>
    <row r="4494" spans="1:2" x14ac:dyDescent="0.25">
      <c r="A4494" s="6">
        <v>42331</v>
      </c>
      <c r="B4494">
        <v>5.2530999999999997E-4</v>
      </c>
    </row>
    <row r="4495" spans="1:2" x14ac:dyDescent="0.25">
      <c r="A4495" s="6">
        <v>42332</v>
      </c>
      <c r="B4495">
        <v>5.2530999999999997E-4</v>
      </c>
    </row>
    <row r="4496" spans="1:2" x14ac:dyDescent="0.25">
      <c r="A4496" s="6">
        <v>42333</v>
      </c>
      <c r="B4496">
        <v>5.2530999999999997E-4</v>
      </c>
    </row>
    <row r="4497" spans="1:2" x14ac:dyDescent="0.25">
      <c r="A4497" s="6">
        <v>42334</v>
      </c>
      <c r="B4497">
        <v>5.2530999999999997E-4</v>
      </c>
    </row>
    <row r="4498" spans="1:2" x14ac:dyDescent="0.25">
      <c r="A4498" s="6">
        <v>42335</v>
      </c>
      <c r="B4498">
        <v>5.2530999999999997E-4</v>
      </c>
    </row>
    <row r="4499" spans="1:2" x14ac:dyDescent="0.25">
      <c r="A4499" s="6">
        <v>42338</v>
      </c>
      <c r="B4499">
        <v>5.2530999999999997E-4</v>
      </c>
    </row>
    <row r="4500" spans="1:2" x14ac:dyDescent="0.25">
      <c r="A4500" s="6">
        <v>42339</v>
      </c>
      <c r="B4500">
        <v>5.2530999999999997E-4</v>
      </c>
    </row>
    <row r="4501" spans="1:2" x14ac:dyDescent="0.25">
      <c r="A4501" s="6">
        <v>42340</v>
      </c>
      <c r="B4501">
        <v>5.2530999999999997E-4</v>
      </c>
    </row>
    <row r="4502" spans="1:2" x14ac:dyDescent="0.25">
      <c r="A4502" s="6">
        <v>42341</v>
      </c>
      <c r="B4502">
        <v>5.2530999999999997E-4</v>
      </c>
    </row>
    <row r="4503" spans="1:2" x14ac:dyDescent="0.25">
      <c r="A4503" s="6">
        <v>42342</v>
      </c>
      <c r="B4503">
        <v>5.2530999999999997E-4</v>
      </c>
    </row>
    <row r="4504" spans="1:2" x14ac:dyDescent="0.25">
      <c r="A4504" s="6">
        <v>42345</v>
      </c>
      <c r="B4504">
        <v>5.2530999999999997E-4</v>
      </c>
    </row>
    <row r="4505" spans="1:2" x14ac:dyDescent="0.25">
      <c r="A4505" s="6">
        <v>42346</v>
      </c>
      <c r="B4505">
        <v>5.2530999999999997E-4</v>
      </c>
    </row>
    <row r="4506" spans="1:2" x14ac:dyDescent="0.25">
      <c r="A4506" s="6">
        <v>42347</v>
      </c>
      <c r="B4506">
        <v>5.2530999999999997E-4</v>
      </c>
    </row>
    <row r="4507" spans="1:2" x14ac:dyDescent="0.25">
      <c r="A4507" s="6">
        <v>42348</v>
      </c>
      <c r="B4507">
        <v>5.2530999999999997E-4</v>
      </c>
    </row>
    <row r="4508" spans="1:2" x14ac:dyDescent="0.25">
      <c r="A4508" s="6">
        <v>42349</v>
      </c>
      <c r="B4508">
        <v>5.2530999999999997E-4</v>
      </c>
    </row>
    <row r="4509" spans="1:2" x14ac:dyDescent="0.25">
      <c r="A4509" s="6">
        <v>42352</v>
      </c>
      <c r="B4509">
        <v>5.2530999999999997E-4</v>
      </c>
    </row>
    <row r="4510" spans="1:2" x14ac:dyDescent="0.25">
      <c r="A4510" s="6">
        <v>42353</v>
      </c>
      <c r="B4510">
        <v>5.2530999999999997E-4</v>
      </c>
    </row>
    <row r="4511" spans="1:2" x14ac:dyDescent="0.25">
      <c r="A4511" s="6">
        <v>42354</v>
      </c>
      <c r="B4511">
        <v>5.2530999999999997E-4</v>
      </c>
    </row>
    <row r="4512" spans="1:2" x14ac:dyDescent="0.25">
      <c r="A4512" s="6">
        <v>42355</v>
      </c>
      <c r="B4512">
        <v>5.2530999999999997E-4</v>
      </c>
    </row>
    <row r="4513" spans="1:2" x14ac:dyDescent="0.25">
      <c r="A4513" s="6">
        <v>42356</v>
      </c>
      <c r="B4513">
        <v>5.2530999999999997E-4</v>
      </c>
    </row>
    <row r="4514" spans="1:2" x14ac:dyDescent="0.25">
      <c r="A4514" s="6">
        <v>42359</v>
      </c>
      <c r="B4514">
        <v>5.2530999999999997E-4</v>
      </c>
    </row>
    <row r="4515" spans="1:2" x14ac:dyDescent="0.25">
      <c r="A4515" s="6">
        <v>42360</v>
      </c>
      <c r="B4515">
        <v>5.2530999999999997E-4</v>
      </c>
    </row>
    <row r="4516" spans="1:2" x14ac:dyDescent="0.25">
      <c r="A4516" s="6">
        <v>42361</v>
      </c>
      <c r="B4516">
        <v>5.2530999999999997E-4</v>
      </c>
    </row>
    <row r="4517" spans="1:2" x14ac:dyDescent="0.25">
      <c r="A4517" s="6">
        <v>42362</v>
      </c>
      <c r="B4517">
        <v>5.2530999999999997E-4</v>
      </c>
    </row>
    <row r="4518" spans="1:2" x14ac:dyDescent="0.25">
      <c r="A4518" s="6">
        <v>42366</v>
      </c>
      <c r="B4518">
        <v>5.2530999999999997E-4</v>
      </c>
    </row>
    <row r="4519" spans="1:2" x14ac:dyDescent="0.25">
      <c r="A4519" s="6">
        <v>42367</v>
      </c>
      <c r="B4519">
        <v>5.2530999999999997E-4</v>
      </c>
    </row>
    <row r="4520" spans="1:2" x14ac:dyDescent="0.25">
      <c r="A4520" s="6">
        <v>42368</v>
      </c>
      <c r="B4520">
        <v>5.2530999999999997E-4</v>
      </c>
    </row>
    <row r="4521" spans="1:2" x14ac:dyDescent="0.25">
      <c r="A4521" s="6">
        <v>42369</v>
      </c>
      <c r="B4521">
        <v>5.2530999999999997E-4</v>
      </c>
    </row>
    <row r="4522" spans="1:2" x14ac:dyDescent="0.25">
      <c r="A4522" s="6">
        <v>42373</v>
      </c>
      <c r="B4522">
        <v>5.2530999999999997E-4</v>
      </c>
    </row>
    <row r="4523" spans="1:2" x14ac:dyDescent="0.25">
      <c r="A4523" s="6">
        <v>42374</v>
      </c>
      <c r="B4523">
        <v>5.2530999999999997E-4</v>
      </c>
    </row>
    <row r="4524" spans="1:2" x14ac:dyDescent="0.25">
      <c r="A4524" s="6">
        <v>42375</v>
      </c>
      <c r="B4524">
        <v>5.2530999999999997E-4</v>
      </c>
    </row>
    <row r="4525" spans="1:2" x14ac:dyDescent="0.25">
      <c r="A4525" s="6">
        <v>42376</v>
      </c>
      <c r="B4525">
        <v>5.2530999999999997E-4</v>
      </c>
    </row>
    <row r="4526" spans="1:2" x14ac:dyDescent="0.25">
      <c r="A4526" s="6">
        <v>42377</v>
      </c>
      <c r="B4526">
        <v>5.2530999999999997E-4</v>
      </c>
    </row>
    <row r="4527" spans="1:2" x14ac:dyDescent="0.25">
      <c r="A4527" s="6">
        <v>42380</v>
      </c>
      <c r="B4527">
        <v>5.2530999999999997E-4</v>
      </c>
    </row>
    <row r="4528" spans="1:2" x14ac:dyDescent="0.25">
      <c r="A4528" s="6">
        <v>42381</v>
      </c>
      <c r="B4528">
        <v>5.2530999999999997E-4</v>
      </c>
    </row>
    <row r="4529" spans="1:2" x14ac:dyDescent="0.25">
      <c r="A4529" s="6">
        <v>42382</v>
      </c>
      <c r="B4529">
        <v>5.2530999999999997E-4</v>
      </c>
    </row>
    <row r="4530" spans="1:2" x14ac:dyDescent="0.25">
      <c r="A4530" s="6">
        <v>42383</v>
      </c>
      <c r="B4530">
        <v>5.2530999999999997E-4</v>
      </c>
    </row>
    <row r="4531" spans="1:2" x14ac:dyDescent="0.25">
      <c r="A4531" s="6">
        <v>42384</v>
      </c>
      <c r="B4531">
        <v>5.2530999999999997E-4</v>
      </c>
    </row>
    <row r="4532" spans="1:2" x14ac:dyDescent="0.25">
      <c r="A4532" s="6">
        <v>42387</v>
      </c>
      <c r="B4532">
        <v>5.2530999999999997E-4</v>
      </c>
    </row>
    <row r="4533" spans="1:2" x14ac:dyDescent="0.25">
      <c r="A4533" s="6">
        <v>42388</v>
      </c>
      <c r="B4533">
        <v>5.2530999999999997E-4</v>
      </c>
    </row>
    <row r="4534" spans="1:2" x14ac:dyDescent="0.25">
      <c r="A4534" s="6">
        <v>42389</v>
      </c>
      <c r="B4534">
        <v>5.2530999999999997E-4</v>
      </c>
    </row>
    <row r="4535" spans="1:2" x14ac:dyDescent="0.25">
      <c r="A4535" s="6">
        <v>42390</v>
      </c>
      <c r="B4535">
        <v>5.2530999999999997E-4</v>
      </c>
    </row>
    <row r="4536" spans="1:2" x14ac:dyDescent="0.25">
      <c r="A4536" s="6">
        <v>42391</v>
      </c>
      <c r="B4536">
        <v>5.2530999999999997E-4</v>
      </c>
    </row>
    <row r="4537" spans="1:2" x14ac:dyDescent="0.25">
      <c r="A4537" s="6">
        <v>42394</v>
      </c>
      <c r="B4537">
        <v>5.2530999999999997E-4</v>
      </c>
    </row>
    <row r="4538" spans="1:2" x14ac:dyDescent="0.25">
      <c r="A4538" s="6">
        <v>42395</v>
      </c>
      <c r="B4538">
        <v>5.2530999999999997E-4</v>
      </c>
    </row>
    <row r="4539" spans="1:2" x14ac:dyDescent="0.25">
      <c r="A4539" s="6">
        <v>42396</v>
      </c>
      <c r="B4539">
        <v>5.2530999999999997E-4</v>
      </c>
    </row>
    <row r="4540" spans="1:2" x14ac:dyDescent="0.25">
      <c r="A4540" s="6">
        <v>42397</v>
      </c>
      <c r="B4540">
        <v>5.2530999999999997E-4</v>
      </c>
    </row>
    <row r="4541" spans="1:2" x14ac:dyDescent="0.25">
      <c r="A4541" s="6">
        <v>42398</v>
      </c>
      <c r="B4541">
        <v>5.2530999999999997E-4</v>
      </c>
    </row>
    <row r="4542" spans="1:2" x14ac:dyDescent="0.25">
      <c r="A4542" s="6">
        <v>42401</v>
      </c>
      <c r="B4542">
        <v>5.2530999999999997E-4</v>
      </c>
    </row>
    <row r="4543" spans="1:2" x14ac:dyDescent="0.25">
      <c r="A4543" s="6">
        <v>42402</v>
      </c>
      <c r="B4543">
        <v>5.2530999999999997E-4</v>
      </c>
    </row>
    <row r="4544" spans="1:2" x14ac:dyDescent="0.25">
      <c r="A4544" s="6">
        <v>42403</v>
      </c>
      <c r="B4544">
        <v>5.2530999999999997E-4</v>
      </c>
    </row>
    <row r="4545" spans="1:2" x14ac:dyDescent="0.25">
      <c r="A4545" s="6">
        <v>42404</v>
      </c>
      <c r="B4545">
        <v>5.2530999999999997E-4</v>
      </c>
    </row>
    <row r="4546" spans="1:2" x14ac:dyDescent="0.25">
      <c r="A4546" s="6">
        <v>42405</v>
      </c>
      <c r="B4546">
        <v>5.2530999999999997E-4</v>
      </c>
    </row>
    <row r="4547" spans="1:2" x14ac:dyDescent="0.25">
      <c r="A4547" s="6">
        <v>42410</v>
      </c>
      <c r="B4547">
        <v>5.2530999999999997E-4</v>
      </c>
    </row>
    <row r="4548" spans="1:2" x14ac:dyDescent="0.25">
      <c r="A4548" s="6">
        <v>42411</v>
      </c>
      <c r="B4548">
        <v>5.2530999999999997E-4</v>
      </c>
    </row>
    <row r="4549" spans="1:2" x14ac:dyDescent="0.25">
      <c r="A4549" s="6">
        <v>42412</v>
      </c>
      <c r="B4549">
        <v>5.2530999999999997E-4</v>
      </c>
    </row>
    <row r="4550" spans="1:2" x14ac:dyDescent="0.25">
      <c r="A4550" s="6">
        <v>42415</v>
      </c>
      <c r="B4550">
        <v>5.2530999999999997E-4</v>
      </c>
    </row>
    <row r="4551" spans="1:2" x14ac:dyDescent="0.25">
      <c r="A4551" s="6">
        <v>42416</v>
      </c>
      <c r="B4551">
        <v>5.2530999999999997E-4</v>
      </c>
    </row>
    <row r="4552" spans="1:2" x14ac:dyDescent="0.25">
      <c r="A4552" s="6">
        <v>42417</v>
      </c>
      <c r="B4552">
        <v>5.2530999999999997E-4</v>
      </c>
    </row>
    <row r="4553" spans="1:2" x14ac:dyDescent="0.25">
      <c r="A4553" s="6">
        <v>42418</v>
      </c>
      <c r="B4553">
        <v>5.2530999999999997E-4</v>
      </c>
    </row>
    <row r="4554" spans="1:2" x14ac:dyDescent="0.25">
      <c r="A4554" s="6">
        <v>42419</v>
      </c>
      <c r="B4554">
        <v>5.2530999999999997E-4</v>
      </c>
    </row>
    <row r="4555" spans="1:2" x14ac:dyDescent="0.25">
      <c r="A4555" s="6">
        <v>42422</v>
      </c>
      <c r="B4555">
        <v>5.2530999999999997E-4</v>
      </c>
    </row>
    <row r="4556" spans="1:2" x14ac:dyDescent="0.25">
      <c r="A4556" s="6">
        <v>42423</v>
      </c>
      <c r="B4556">
        <v>5.2530999999999997E-4</v>
      </c>
    </row>
    <row r="4557" spans="1:2" x14ac:dyDescent="0.25">
      <c r="A4557" s="6">
        <v>42424</v>
      </c>
      <c r="B4557">
        <v>5.2530999999999997E-4</v>
      </c>
    </row>
    <row r="4558" spans="1:2" x14ac:dyDescent="0.25">
      <c r="A4558" s="6">
        <v>42425</v>
      </c>
      <c r="B4558">
        <v>5.2530999999999997E-4</v>
      </c>
    </row>
    <row r="4559" spans="1:2" x14ac:dyDescent="0.25">
      <c r="A4559" s="6">
        <v>42426</v>
      </c>
      <c r="B4559">
        <v>5.2530999999999997E-4</v>
      </c>
    </row>
    <row r="4560" spans="1:2" x14ac:dyDescent="0.25">
      <c r="A4560" s="6">
        <v>42429</v>
      </c>
      <c r="B4560">
        <v>5.2530999999999997E-4</v>
      </c>
    </row>
    <row r="4561" spans="1:2" x14ac:dyDescent="0.25">
      <c r="A4561" s="6">
        <v>42430</v>
      </c>
      <c r="B4561">
        <v>5.2530999999999997E-4</v>
      </c>
    </row>
    <row r="4562" spans="1:2" x14ac:dyDescent="0.25">
      <c r="A4562" s="6">
        <v>42431</v>
      </c>
      <c r="B4562">
        <v>5.2530999999999997E-4</v>
      </c>
    </row>
    <row r="4563" spans="1:2" x14ac:dyDescent="0.25">
      <c r="A4563" s="6">
        <v>42432</v>
      </c>
      <c r="B4563">
        <v>5.2530999999999997E-4</v>
      </c>
    </row>
    <row r="4564" spans="1:2" x14ac:dyDescent="0.25">
      <c r="A4564" s="6">
        <v>42433</v>
      </c>
      <c r="B4564">
        <v>5.2530999999999997E-4</v>
      </c>
    </row>
    <row r="4565" spans="1:2" x14ac:dyDescent="0.25">
      <c r="A4565" s="6">
        <v>42436</v>
      </c>
      <c r="B4565">
        <v>5.2530999999999997E-4</v>
      </c>
    </row>
    <row r="4566" spans="1:2" x14ac:dyDescent="0.25">
      <c r="A4566" s="6">
        <v>42437</v>
      </c>
      <c r="B4566">
        <v>5.2530999999999997E-4</v>
      </c>
    </row>
    <row r="4567" spans="1:2" x14ac:dyDescent="0.25">
      <c r="A4567" s="6">
        <v>42438</v>
      </c>
      <c r="B4567">
        <v>5.2530999999999997E-4</v>
      </c>
    </row>
    <row r="4568" spans="1:2" x14ac:dyDescent="0.25">
      <c r="A4568" s="6">
        <v>42439</v>
      </c>
      <c r="B4568">
        <v>5.2530999999999997E-4</v>
      </c>
    </row>
    <row r="4569" spans="1:2" x14ac:dyDescent="0.25">
      <c r="A4569" s="6">
        <v>42440</v>
      </c>
      <c r="B4569">
        <v>5.2530999999999997E-4</v>
      </c>
    </row>
    <row r="4570" spans="1:2" x14ac:dyDescent="0.25">
      <c r="A4570" s="6">
        <v>42443</v>
      </c>
      <c r="B4570">
        <v>5.2530999999999997E-4</v>
      </c>
    </row>
    <row r="4571" spans="1:2" x14ac:dyDescent="0.25">
      <c r="A4571" s="6">
        <v>42444</v>
      </c>
      <c r="B4571">
        <v>5.2530999999999997E-4</v>
      </c>
    </row>
    <row r="4572" spans="1:2" x14ac:dyDescent="0.25">
      <c r="A4572" s="6">
        <v>42445</v>
      </c>
      <c r="B4572">
        <v>5.2530999999999997E-4</v>
      </c>
    </row>
    <row r="4573" spans="1:2" x14ac:dyDescent="0.25">
      <c r="A4573" s="6">
        <v>42446</v>
      </c>
      <c r="B4573">
        <v>5.2530999999999997E-4</v>
      </c>
    </row>
    <row r="4574" spans="1:2" x14ac:dyDescent="0.25">
      <c r="A4574" s="6">
        <v>42447</v>
      </c>
      <c r="B4574">
        <v>5.2530999999999997E-4</v>
      </c>
    </row>
    <row r="4575" spans="1:2" x14ac:dyDescent="0.25">
      <c r="A4575" s="6">
        <v>42450</v>
      </c>
      <c r="B4575">
        <v>5.2530999999999997E-4</v>
      </c>
    </row>
    <row r="4576" spans="1:2" x14ac:dyDescent="0.25">
      <c r="A4576" s="6">
        <v>42451</v>
      </c>
      <c r="B4576">
        <v>5.2530999999999997E-4</v>
      </c>
    </row>
    <row r="4577" spans="1:2" x14ac:dyDescent="0.25">
      <c r="A4577" s="6">
        <v>42452</v>
      </c>
      <c r="B4577">
        <v>5.2530999999999997E-4</v>
      </c>
    </row>
    <row r="4578" spans="1:2" x14ac:dyDescent="0.25">
      <c r="A4578" s="6">
        <v>42453</v>
      </c>
      <c r="B4578">
        <v>5.2530999999999997E-4</v>
      </c>
    </row>
    <row r="4579" spans="1:2" x14ac:dyDescent="0.25">
      <c r="A4579" s="6">
        <v>42457</v>
      </c>
      <c r="B4579">
        <v>5.2530999999999997E-4</v>
      </c>
    </row>
    <row r="4580" spans="1:2" x14ac:dyDescent="0.25">
      <c r="A4580" s="6">
        <v>42458</v>
      </c>
      <c r="B4580">
        <v>5.2530999999999997E-4</v>
      </c>
    </row>
    <row r="4581" spans="1:2" x14ac:dyDescent="0.25">
      <c r="A4581" s="6">
        <v>42459</v>
      </c>
      <c r="B4581">
        <v>5.2530999999999997E-4</v>
      </c>
    </row>
    <row r="4582" spans="1:2" x14ac:dyDescent="0.25">
      <c r="A4582" s="6">
        <v>42460</v>
      </c>
      <c r="B4582">
        <v>5.2530999999999997E-4</v>
      </c>
    </row>
    <row r="4583" spans="1:2" x14ac:dyDescent="0.25">
      <c r="A4583" s="6">
        <v>42461</v>
      </c>
      <c r="B4583">
        <v>5.2530999999999997E-4</v>
      </c>
    </row>
    <row r="4584" spans="1:2" x14ac:dyDescent="0.25">
      <c r="A4584" s="6">
        <v>42464</v>
      </c>
      <c r="B4584">
        <v>5.2530999999999997E-4</v>
      </c>
    </row>
    <row r="4585" spans="1:2" x14ac:dyDescent="0.25">
      <c r="A4585" s="6">
        <v>42465</v>
      </c>
      <c r="B4585">
        <v>5.2530999999999997E-4</v>
      </c>
    </row>
    <row r="4586" spans="1:2" x14ac:dyDescent="0.25">
      <c r="A4586" s="6">
        <v>42466</v>
      </c>
      <c r="B4586">
        <v>5.2530999999999997E-4</v>
      </c>
    </row>
    <row r="4587" spans="1:2" x14ac:dyDescent="0.25">
      <c r="A4587" s="6">
        <v>42467</v>
      </c>
      <c r="B4587">
        <v>5.2530999999999997E-4</v>
      </c>
    </row>
    <row r="4588" spans="1:2" x14ac:dyDescent="0.25">
      <c r="A4588" s="6">
        <v>42468</v>
      </c>
      <c r="B4588">
        <v>5.2530999999999997E-4</v>
      </c>
    </row>
    <row r="4589" spans="1:2" x14ac:dyDescent="0.25">
      <c r="A4589" s="6">
        <v>42471</v>
      </c>
      <c r="B4589">
        <v>5.2530999999999997E-4</v>
      </c>
    </row>
    <row r="4590" spans="1:2" x14ac:dyDescent="0.25">
      <c r="A4590" s="6">
        <v>42472</v>
      </c>
      <c r="B4590">
        <v>5.2530999999999997E-4</v>
      </c>
    </row>
    <row r="4591" spans="1:2" x14ac:dyDescent="0.25">
      <c r="A4591" s="6">
        <v>42473</v>
      </c>
      <c r="B4591">
        <v>5.2530999999999997E-4</v>
      </c>
    </row>
    <row r="4592" spans="1:2" x14ac:dyDescent="0.25">
      <c r="A4592" s="6">
        <v>42474</v>
      </c>
      <c r="B4592">
        <v>5.2530999999999997E-4</v>
      </c>
    </row>
    <row r="4593" spans="1:2" x14ac:dyDescent="0.25">
      <c r="A4593" s="6">
        <v>42475</v>
      </c>
      <c r="B4593">
        <v>5.2530999999999997E-4</v>
      </c>
    </row>
    <row r="4594" spans="1:2" x14ac:dyDescent="0.25">
      <c r="A4594" s="6">
        <v>42478</v>
      </c>
      <c r="B4594">
        <v>5.2530999999999997E-4</v>
      </c>
    </row>
    <row r="4595" spans="1:2" x14ac:dyDescent="0.25">
      <c r="A4595" s="6">
        <v>42479</v>
      </c>
      <c r="B4595">
        <v>5.2530999999999997E-4</v>
      </c>
    </row>
    <row r="4596" spans="1:2" x14ac:dyDescent="0.25">
      <c r="A4596" s="6">
        <v>42480</v>
      </c>
      <c r="B4596">
        <v>5.2530999999999997E-4</v>
      </c>
    </row>
    <row r="4597" spans="1:2" x14ac:dyDescent="0.25">
      <c r="A4597" s="6">
        <v>42482</v>
      </c>
      <c r="B4597">
        <v>5.2530999999999997E-4</v>
      </c>
    </row>
    <row r="4598" spans="1:2" x14ac:dyDescent="0.25">
      <c r="A4598" s="6">
        <v>42485</v>
      </c>
      <c r="B4598">
        <v>5.2530999999999997E-4</v>
      </c>
    </row>
    <row r="4599" spans="1:2" x14ac:dyDescent="0.25">
      <c r="A4599" s="6">
        <v>42486</v>
      </c>
      <c r="B4599">
        <v>5.2530999999999997E-4</v>
      </c>
    </row>
    <row r="4600" spans="1:2" x14ac:dyDescent="0.25">
      <c r="A4600" s="6">
        <v>42487</v>
      </c>
      <c r="B4600">
        <v>5.2530999999999997E-4</v>
      </c>
    </row>
    <row r="4601" spans="1:2" x14ac:dyDescent="0.25">
      <c r="A4601" s="6">
        <v>42488</v>
      </c>
      <c r="B4601">
        <v>5.2530999999999997E-4</v>
      </c>
    </row>
    <row r="4602" spans="1:2" x14ac:dyDescent="0.25">
      <c r="A4602" s="6">
        <v>42489</v>
      </c>
      <c r="B4602">
        <v>5.2530999999999997E-4</v>
      </c>
    </row>
    <row r="4603" spans="1:2" x14ac:dyDescent="0.25">
      <c r="A4603" s="6">
        <v>42492</v>
      </c>
      <c r="B4603">
        <v>5.2530999999999997E-4</v>
      </c>
    </row>
    <row r="4604" spans="1:2" x14ac:dyDescent="0.25">
      <c r="A4604" s="6">
        <v>42493</v>
      </c>
      <c r="B4604">
        <v>5.2530999999999997E-4</v>
      </c>
    </row>
    <row r="4605" spans="1:2" x14ac:dyDescent="0.25">
      <c r="A4605" s="6">
        <v>42494</v>
      </c>
      <c r="B4605">
        <v>5.2530999999999997E-4</v>
      </c>
    </row>
    <row r="4606" spans="1:2" x14ac:dyDescent="0.25">
      <c r="A4606" s="6">
        <v>42495</v>
      </c>
      <c r="B4606">
        <v>5.2530999999999997E-4</v>
      </c>
    </row>
    <row r="4607" spans="1:2" x14ac:dyDescent="0.25">
      <c r="A4607" s="6">
        <v>42496</v>
      </c>
      <c r="B4607">
        <v>5.2530999999999997E-4</v>
      </c>
    </row>
    <row r="4608" spans="1:2" x14ac:dyDescent="0.25">
      <c r="A4608" s="6">
        <v>42499</v>
      </c>
      <c r="B4608">
        <v>5.2530999999999997E-4</v>
      </c>
    </row>
    <row r="4609" spans="1:2" x14ac:dyDescent="0.25">
      <c r="A4609" s="6">
        <v>42500</v>
      </c>
      <c r="B4609">
        <v>5.2530999999999997E-4</v>
      </c>
    </row>
    <row r="4610" spans="1:2" x14ac:dyDescent="0.25">
      <c r="A4610" s="6">
        <v>42501</v>
      </c>
      <c r="B4610">
        <v>5.2530999999999997E-4</v>
      </c>
    </row>
    <row r="4611" spans="1:2" x14ac:dyDescent="0.25">
      <c r="A4611" s="6">
        <v>42502</v>
      </c>
      <c r="B4611">
        <v>5.2530999999999997E-4</v>
      </c>
    </row>
    <row r="4612" spans="1:2" x14ac:dyDescent="0.25">
      <c r="A4612" s="6">
        <v>42503</v>
      </c>
      <c r="B4612">
        <v>5.2530999999999997E-4</v>
      </c>
    </row>
    <row r="4613" spans="1:2" x14ac:dyDescent="0.25">
      <c r="A4613" s="6">
        <v>42506</v>
      </c>
      <c r="B4613">
        <v>5.2530999999999997E-4</v>
      </c>
    </row>
    <row r="4614" spans="1:2" x14ac:dyDescent="0.25">
      <c r="A4614" s="6">
        <v>42507</v>
      </c>
      <c r="B4614">
        <v>5.2530999999999997E-4</v>
      </c>
    </row>
    <row r="4615" spans="1:2" x14ac:dyDescent="0.25">
      <c r="A4615" s="6">
        <v>42508</v>
      </c>
      <c r="B4615">
        <v>5.2530999999999997E-4</v>
      </c>
    </row>
    <row r="4616" spans="1:2" x14ac:dyDescent="0.25">
      <c r="A4616" s="6">
        <v>42509</v>
      </c>
      <c r="B4616">
        <v>5.2530999999999997E-4</v>
      </c>
    </row>
    <row r="4617" spans="1:2" x14ac:dyDescent="0.25">
      <c r="A4617" s="6">
        <v>42510</v>
      </c>
      <c r="B4617">
        <v>5.2530999999999997E-4</v>
      </c>
    </row>
    <row r="4618" spans="1:2" x14ac:dyDescent="0.25">
      <c r="A4618" s="6">
        <v>42513</v>
      </c>
      <c r="B4618">
        <v>5.2530999999999997E-4</v>
      </c>
    </row>
    <row r="4619" spans="1:2" x14ac:dyDescent="0.25">
      <c r="A4619" s="6">
        <v>42514</v>
      </c>
      <c r="B4619">
        <v>5.2530999999999997E-4</v>
      </c>
    </row>
    <row r="4620" spans="1:2" x14ac:dyDescent="0.25">
      <c r="A4620" s="6">
        <v>42515</v>
      </c>
      <c r="B4620">
        <v>5.2530999999999997E-4</v>
      </c>
    </row>
    <row r="4621" spans="1:2" x14ac:dyDescent="0.25">
      <c r="A4621" s="6">
        <v>42517</v>
      </c>
      <c r="B4621">
        <v>5.2530999999999997E-4</v>
      </c>
    </row>
    <row r="4622" spans="1:2" x14ac:dyDescent="0.25">
      <c r="A4622" s="6">
        <v>42520</v>
      </c>
      <c r="B4622">
        <v>5.2530999999999997E-4</v>
      </c>
    </row>
    <row r="4623" spans="1:2" x14ac:dyDescent="0.25">
      <c r="A4623" s="6">
        <v>42521</v>
      </c>
      <c r="B4623">
        <v>5.2530999999999997E-4</v>
      </c>
    </row>
    <row r="4624" spans="1:2" x14ac:dyDescent="0.25">
      <c r="A4624" s="6">
        <v>42522</v>
      </c>
      <c r="B4624">
        <v>5.2530999999999997E-4</v>
      </c>
    </row>
    <row r="4625" spans="1:2" x14ac:dyDescent="0.25">
      <c r="A4625" s="6">
        <v>42523</v>
      </c>
      <c r="B4625">
        <v>5.2530999999999997E-4</v>
      </c>
    </row>
    <row r="4626" spans="1:2" x14ac:dyDescent="0.25">
      <c r="A4626" s="6">
        <v>42524</v>
      </c>
      <c r="B4626">
        <v>5.2530999999999997E-4</v>
      </c>
    </row>
    <row r="4627" spans="1:2" x14ac:dyDescent="0.25">
      <c r="A4627" s="6">
        <v>42527</v>
      </c>
      <c r="B4627">
        <v>5.2530999999999997E-4</v>
      </c>
    </row>
    <row r="4628" spans="1:2" x14ac:dyDescent="0.25">
      <c r="A4628" s="6">
        <v>42528</v>
      </c>
      <c r="B4628">
        <v>5.2530999999999997E-4</v>
      </c>
    </row>
    <row r="4629" spans="1:2" x14ac:dyDescent="0.25">
      <c r="A4629" s="6">
        <v>42529</v>
      </c>
      <c r="B4629">
        <v>5.2530999999999997E-4</v>
      </c>
    </row>
    <row r="4630" spans="1:2" x14ac:dyDescent="0.25">
      <c r="A4630" s="6">
        <v>42530</v>
      </c>
      <c r="B4630">
        <v>5.2530999999999997E-4</v>
      </c>
    </row>
    <row r="4631" spans="1:2" x14ac:dyDescent="0.25">
      <c r="A4631" s="6">
        <v>42531</v>
      </c>
      <c r="B4631">
        <v>5.2530999999999997E-4</v>
      </c>
    </row>
    <row r="4632" spans="1:2" x14ac:dyDescent="0.25">
      <c r="A4632" s="6">
        <v>42534</v>
      </c>
      <c r="B4632">
        <v>5.2530999999999997E-4</v>
      </c>
    </row>
    <row r="4633" spans="1:2" x14ac:dyDescent="0.25">
      <c r="A4633" s="6">
        <v>42535</v>
      </c>
      <c r="B4633">
        <v>5.2530999999999997E-4</v>
      </c>
    </row>
    <row r="4634" spans="1:2" x14ac:dyDescent="0.25">
      <c r="A4634" s="6">
        <v>42536</v>
      </c>
      <c r="B4634">
        <v>5.2530999999999997E-4</v>
      </c>
    </row>
    <row r="4635" spans="1:2" x14ac:dyDescent="0.25">
      <c r="A4635" s="6">
        <v>42537</v>
      </c>
      <c r="B4635">
        <v>5.2530999999999997E-4</v>
      </c>
    </row>
    <row r="4636" spans="1:2" x14ac:dyDescent="0.25">
      <c r="A4636" s="6">
        <v>42538</v>
      </c>
      <c r="B4636">
        <v>5.2530999999999997E-4</v>
      </c>
    </row>
    <row r="4637" spans="1:2" x14ac:dyDescent="0.25">
      <c r="A4637" s="6">
        <v>42541</v>
      </c>
      <c r="B4637">
        <v>5.2530999999999997E-4</v>
      </c>
    </row>
    <row r="4638" spans="1:2" x14ac:dyDescent="0.25">
      <c r="A4638" s="6">
        <v>42542</v>
      </c>
      <c r="B4638">
        <v>5.2530999999999997E-4</v>
      </c>
    </row>
    <row r="4639" spans="1:2" x14ac:dyDescent="0.25">
      <c r="A4639" s="6">
        <v>42543</v>
      </c>
      <c r="B4639">
        <v>5.2530999999999997E-4</v>
      </c>
    </row>
    <row r="4640" spans="1:2" x14ac:dyDescent="0.25">
      <c r="A4640" s="6">
        <v>42544</v>
      </c>
      <c r="B4640">
        <v>5.2530999999999997E-4</v>
      </c>
    </row>
    <row r="4641" spans="1:2" x14ac:dyDescent="0.25">
      <c r="A4641" s="6">
        <v>42545</v>
      </c>
      <c r="B4641">
        <v>5.2530999999999997E-4</v>
      </c>
    </row>
    <row r="4642" spans="1:2" x14ac:dyDescent="0.25">
      <c r="A4642" s="6">
        <v>42548</v>
      </c>
      <c r="B4642">
        <v>5.2530999999999997E-4</v>
      </c>
    </row>
    <row r="4643" spans="1:2" x14ac:dyDescent="0.25">
      <c r="A4643" s="6">
        <v>42549</v>
      </c>
      <c r="B4643">
        <v>5.2530999999999997E-4</v>
      </c>
    </row>
    <row r="4644" spans="1:2" x14ac:dyDescent="0.25">
      <c r="A4644" s="6">
        <v>42550</v>
      </c>
      <c r="B4644">
        <v>5.2530999999999997E-4</v>
      </c>
    </row>
    <row r="4645" spans="1:2" x14ac:dyDescent="0.25">
      <c r="A4645" s="6">
        <v>42551</v>
      </c>
      <c r="B4645">
        <v>5.2530999999999997E-4</v>
      </c>
    </row>
    <row r="4646" spans="1:2" x14ac:dyDescent="0.25">
      <c r="A4646" s="6">
        <v>42552</v>
      </c>
      <c r="B4646">
        <v>5.2530999999999997E-4</v>
      </c>
    </row>
    <row r="4647" spans="1:2" x14ac:dyDescent="0.25">
      <c r="A4647" s="6">
        <v>42555</v>
      </c>
      <c r="B4647">
        <v>5.2530999999999997E-4</v>
      </c>
    </row>
    <row r="4648" spans="1:2" x14ac:dyDescent="0.25">
      <c r="A4648" s="6">
        <v>42556</v>
      </c>
      <c r="B4648">
        <v>5.2530999999999997E-4</v>
      </c>
    </row>
    <row r="4649" spans="1:2" x14ac:dyDescent="0.25">
      <c r="A4649" s="6">
        <v>42557</v>
      </c>
      <c r="B4649">
        <v>5.2530999999999997E-4</v>
      </c>
    </row>
    <row r="4650" spans="1:2" x14ac:dyDescent="0.25">
      <c r="A4650" s="6">
        <v>42558</v>
      </c>
      <c r="B4650">
        <v>5.2530999999999997E-4</v>
      </c>
    </row>
    <row r="4651" spans="1:2" x14ac:dyDescent="0.25">
      <c r="A4651" s="6">
        <v>42559</v>
      </c>
      <c r="B4651">
        <v>5.2530999999999997E-4</v>
      </c>
    </row>
    <row r="4652" spans="1:2" x14ac:dyDescent="0.25">
      <c r="A4652" s="6">
        <v>42562</v>
      </c>
      <c r="B4652">
        <v>5.2530999999999997E-4</v>
      </c>
    </row>
    <row r="4653" spans="1:2" x14ac:dyDescent="0.25">
      <c r="A4653" s="6">
        <v>42563</v>
      </c>
      <c r="B4653">
        <v>5.2530999999999997E-4</v>
      </c>
    </row>
    <row r="4654" spans="1:2" x14ac:dyDescent="0.25">
      <c r="A4654" s="6">
        <v>42564</v>
      </c>
      <c r="B4654">
        <v>5.2530999999999997E-4</v>
      </c>
    </row>
    <row r="4655" spans="1:2" x14ac:dyDescent="0.25">
      <c r="A4655" s="6">
        <v>42565</v>
      </c>
      <c r="B4655">
        <v>5.2530999999999997E-4</v>
      </c>
    </row>
    <row r="4656" spans="1:2" x14ac:dyDescent="0.25">
      <c r="A4656" s="6">
        <v>42566</v>
      </c>
      <c r="B4656">
        <v>5.2530999999999997E-4</v>
      </c>
    </row>
    <row r="4657" spans="1:2" x14ac:dyDescent="0.25">
      <c r="A4657" s="6">
        <v>42569</v>
      </c>
      <c r="B4657">
        <v>5.2530999999999997E-4</v>
      </c>
    </row>
    <row r="4658" spans="1:2" x14ac:dyDescent="0.25">
      <c r="A4658" s="6">
        <v>42570</v>
      </c>
      <c r="B4658">
        <v>5.2530999999999997E-4</v>
      </c>
    </row>
    <row r="4659" spans="1:2" x14ac:dyDescent="0.25">
      <c r="A4659" s="6">
        <v>42571</v>
      </c>
      <c r="B4659">
        <v>5.2530999999999997E-4</v>
      </c>
    </row>
    <row r="4660" spans="1:2" x14ac:dyDescent="0.25">
      <c r="A4660" s="6">
        <v>42572</v>
      </c>
      <c r="B4660">
        <v>5.2530999999999997E-4</v>
      </c>
    </row>
    <row r="4661" spans="1:2" x14ac:dyDescent="0.25">
      <c r="A4661" s="6">
        <v>42573</v>
      </c>
      <c r="B4661">
        <v>5.2530999999999997E-4</v>
      </c>
    </row>
    <row r="4662" spans="1:2" x14ac:dyDescent="0.25">
      <c r="A4662" s="6">
        <v>42576</v>
      </c>
      <c r="B4662">
        <v>5.2530999999999997E-4</v>
      </c>
    </row>
    <row r="4663" spans="1:2" x14ac:dyDescent="0.25">
      <c r="A4663" s="6">
        <v>42577</v>
      </c>
      <c r="B4663">
        <v>5.2530999999999997E-4</v>
      </c>
    </row>
    <row r="4664" spans="1:2" x14ac:dyDescent="0.25">
      <c r="A4664" s="6">
        <v>42578</v>
      </c>
      <c r="B4664">
        <v>5.2530999999999997E-4</v>
      </c>
    </row>
    <row r="4665" spans="1:2" x14ac:dyDescent="0.25">
      <c r="A4665" s="6">
        <v>42579</v>
      </c>
      <c r="B4665">
        <v>5.2530999999999997E-4</v>
      </c>
    </row>
    <row r="4666" spans="1:2" x14ac:dyDescent="0.25">
      <c r="A4666" s="6">
        <v>42580</v>
      </c>
      <c r="B4666">
        <v>5.2530999999999997E-4</v>
      </c>
    </row>
    <row r="4667" spans="1:2" x14ac:dyDescent="0.25">
      <c r="A4667" s="6">
        <v>42583</v>
      </c>
      <c r="B4667">
        <v>5.2530999999999997E-4</v>
      </c>
    </row>
    <row r="4668" spans="1:2" x14ac:dyDescent="0.25">
      <c r="A4668" s="6">
        <v>42584</v>
      </c>
      <c r="B4668">
        <v>5.2530999999999997E-4</v>
      </c>
    </row>
    <row r="4669" spans="1:2" x14ac:dyDescent="0.25">
      <c r="A4669" s="6">
        <v>42585</v>
      </c>
      <c r="B4669">
        <v>5.2530999999999997E-4</v>
      </c>
    </row>
    <row r="4670" spans="1:2" x14ac:dyDescent="0.25">
      <c r="A4670" s="6">
        <v>42586</v>
      </c>
      <c r="B4670">
        <v>5.2530999999999997E-4</v>
      </c>
    </row>
    <row r="4671" spans="1:2" x14ac:dyDescent="0.25">
      <c r="A4671" s="6">
        <v>42587</v>
      </c>
      <c r="B4671">
        <v>5.2530999999999997E-4</v>
      </c>
    </row>
    <row r="4672" spans="1:2" x14ac:dyDescent="0.25">
      <c r="A4672" s="6">
        <v>42590</v>
      </c>
      <c r="B4672">
        <v>5.2530999999999997E-4</v>
      </c>
    </row>
    <row r="4673" spans="1:2" x14ac:dyDescent="0.25">
      <c r="A4673" s="6">
        <v>42591</v>
      </c>
      <c r="B4673">
        <v>5.2530999999999997E-4</v>
      </c>
    </row>
    <row r="4674" spans="1:2" x14ac:dyDescent="0.25">
      <c r="A4674" s="6">
        <v>42592</v>
      </c>
      <c r="B4674">
        <v>5.2530999999999997E-4</v>
      </c>
    </row>
    <row r="4675" spans="1:2" x14ac:dyDescent="0.25">
      <c r="A4675" s="6">
        <v>42593</v>
      </c>
      <c r="B4675">
        <v>5.2530999999999997E-4</v>
      </c>
    </row>
    <row r="4676" spans="1:2" x14ac:dyDescent="0.25">
      <c r="A4676" s="6">
        <v>42594</v>
      </c>
      <c r="B4676">
        <v>5.2530999999999997E-4</v>
      </c>
    </row>
    <row r="4677" spans="1:2" x14ac:dyDescent="0.25">
      <c r="A4677" s="6">
        <v>42597</v>
      </c>
      <c r="B4677">
        <v>5.2530999999999997E-4</v>
      </c>
    </row>
    <row r="4678" spans="1:2" x14ac:dyDescent="0.25">
      <c r="A4678" s="6">
        <v>42598</v>
      </c>
      <c r="B4678">
        <v>5.2530999999999997E-4</v>
      </c>
    </row>
    <row r="4679" spans="1:2" x14ac:dyDescent="0.25">
      <c r="A4679" s="6">
        <v>42599</v>
      </c>
      <c r="B4679">
        <v>5.2530999999999997E-4</v>
      </c>
    </row>
    <row r="4680" spans="1:2" x14ac:dyDescent="0.25">
      <c r="A4680" s="6">
        <v>42600</v>
      </c>
      <c r="B4680">
        <v>5.2530999999999997E-4</v>
      </c>
    </row>
    <row r="4681" spans="1:2" x14ac:dyDescent="0.25">
      <c r="A4681" s="6">
        <v>42601</v>
      </c>
      <c r="B4681">
        <v>5.2530999999999997E-4</v>
      </c>
    </row>
    <row r="4682" spans="1:2" x14ac:dyDescent="0.25">
      <c r="A4682" s="6">
        <v>42604</v>
      </c>
      <c r="B4682">
        <v>5.2530999999999997E-4</v>
      </c>
    </row>
    <row r="4683" spans="1:2" x14ac:dyDescent="0.25">
      <c r="A4683" s="6">
        <v>42605</v>
      </c>
      <c r="B4683">
        <v>5.2530999999999997E-4</v>
      </c>
    </row>
    <row r="4684" spans="1:2" x14ac:dyDescent="0.25">
      <c r="A4684" s="6">
        <v>42606</v>
      </c>
      <c r="B4684">
        <v>5.2530999999999997E-4</v>
      </c>
    </row>
    <row r="4685" spans="1:2" x14ac:dyDescent="0.25">
      <c r="A4685" s="6">
        <v>42607</v>
      </c>
      <c r="B4685">
        <v>5.2530999999999997E-4</v>
      </c>
    </row>
    <row r="4686" spans="1:2" x14ac:dyDescent="0.25">
      <c r="A4686" s="6">
        <v>42608</v>
      </c>
      <c r="B4686">
        <v>5.2530999999999997E-4</v>
      </c>
    </row>
    <row r="4687" spans="1:2" x14ac:dyDescent="0.25">
      <c r="A4687" s="6">
        <v>42611</v>
      </c>
      <c r="B4687">
        <v>5.2530999999999997E-4</v>
      </c>
    </row>
    <row r="4688" spans="1:2" x14ac:dyDescent="0.25">
      <c r="A4688" s="6">
        <v>42612</v>
      </c>
      <c r="B4688">
        <v>5.2530999999999997E-4</v>
      </c>
    </row>
    <row r="4689" spans="1:2" x14ac:dyDescent="0.25">
      <c r="A4689" s="6">
        <v>42613</v>
      </c>
      <c r="B4689">
        <v>5.2530999999999997E-4</v>
      </c>
    </row>
    <row r="4690" spans="1:2" x14ac:dyDescent="0.25">
      <c r="A4690" s="6">
        <v>42614</v>
      </c>
      <c r="B4690">
        <v>5.2530999999999997E-4</v>
      </c>
    </row>
    <row r="4691" spans="1:2" x14ac:dyDescent="0.25">
      <c r="A4691" s="6">
        <v>42615</v>
      </c>
      <c r="B4691">
        <v>5.2530999999999997E-4</v>
      </c>
    </row>
    <row r="4692" spans="1:2" x14ac:dyDescent="0.25">
      <c r="A4692" s="6">
        <v>42618</v>
      </c>
      <c r="B4692">
        <v>5.2530999999999997E-4</v>
      </c>
    </row>
    <row r="4693" spans="1:2" x14ac:dyDescent="0.25">
      <c r="A4693" s="6">
        <v>42619</v>
      </c>
      <c r="B4693">
        <v>5.2530999999999997E-4</v>
      </c>
    </row>
    <row r="4694" spans="1:2" x14ac:dyDescent="0.25">
      <c r="A4694" s="6">
        <v>42621</v>
      </c>
      <c r="B4694">
        <v>5.2530999999999997E-4</v>
      </c>
    </row>
    <row r="4695" spans="1:2" x14ac:dyDescent="0.25">
      <c r="A4695" s="6">
        <v>42622</v>
      </c>
      <c r="B4695">
        <v>5.2530999999999997E-4</v>
      </c>
    </row>
    <row r="4696" spans="1:2" x14ac:dyDescent="0.25">
      <c r="A4696" s="6">
        <v>42625</v>
      </c>
      <c r="B4696">
        <v>5.2530999999999997E-4</v>
      </c>
    </row>
    <row r="4697" spans="1:2" x14ac:dyDescent="0.25">
      <c r="A4697" s="6">
        <v>42626</v>
      </c>
      <c r="B4697">
        <v>5.2530999999999997E-4</v>
      </c>
    </row>
    <row r="4698" spans="1:2" x14ac:dyDescent="0.25">
      <c r="A4698" s="6">
        <v>42627</v>
      </c>
      <c r="B4698">
        <v>5.2530999999999997E-4</v>
      </c>
    </row>
    <row r="4699" spans="1:2" x14ac:dyDescent="0.25">
      <c r="A4699" s="6">
        <v>42628</v>
      </c>
      <c r="B4699">
        <v>5.2530999999999997E-4</v>
      </c>
    </row>
    <row r="4700" spans="1:2" x14ac:dyDescent="0.25">
      <c r="A4700" s="6">
        <v>42629</v>
      </c>
      <c r="B4700">
        <v>5.2530999999999997E-4</v>
      </c>
    </row>
    <row r="4701" spans="1:2" x14ac:dyDescent="0.25">
      <c r="A4701" s="6">
        <v>42632</v>
      </c>
      <c r="B4701">
        <v>5.2530999999999997E-4</v>
      </c>
    </row>
    <row r="4702" spans="1:2" x14ac:dyDescent="0.25">
      <c r="A4702" s="6">
        <v>42633</v>
      </c>
      <c r="B4702">
        <v>5.2530999999999997E-4</v>
      </c>
    </row>
    <row r="4703" spans="1:2" x14ac:dyDescent="0.25">
      <c r="A4703" s="6">
        <v>42634</v>
      </c>
      <c r="B4703">
        <v>5.2530999999999997E-4</v>
      </c>
    </row>
    <row r="4704" spans="1:2" x14ac:dyDescent="0.25">
      <c r="A4704" s="6">
        <v>42635</v>
      </c>
      <c r="B4704">
        <v>5.2530999999999997E-4</v>
      </c>
    </row>
    <row r="4705" spans="1:2" x14ac:dyDescent="0.25">
      <c r="A4705" s="6">
        <v>42636</v>
      </c>
      <c r="B4705">
        <v>5.2530999999999997E-4</v>
      </c>
    </row>
    <row r="4706" spans="1:2" x14ac:dyDescent="0.25">
      <c r="A4706" s="6">
        <v>42639</v>
      </c>
      <c r="B4706">
        <v>5.2530999999999997E-4</v>
      </c>
    </row>
    <row r="4707" spans="1:2" x14ac:dyDescent="0.25">
      <c r="A4707" s="6">
        <v>42640</v>
      </c>
      <c r="B4707">
        <v>5.2530999999999997E-4</v>
      </c>
    </row>
    <row r="4708" spans="1:2" x14ac:dyDescent="0.25">
      <c r="A4708" s="6">
        <v>42641</v>
      </c>
      <c r="B4708">
        <v>5.2530999999999997E-4</v>
      </c>
    </row>
    <row r="4709" spans="1:2" x14ac:dyDescent="0.25">
      <c r="A4709" s="6">
        <v>42642</v>
      </c>
      <c r="B4709">
        <v>5.2530999999999997E-4</v>
      </c>
    </row>
    <row r="4710" spans="1:2" x14ac:dyDescent="0.25">
      <c r="A4710" s="6">
        <v>42643</v>
      </c>
      <c r="B4710">
        <v>5.2530999999999997E-4</v>
      </c>
    </row>
    <row r="4711" spans="1:2" x14ac:dyDescent="0.25">
      <c r="A4711" s="6">
        <v>42646</v>
      </c>
      <c r="B4711">
        <v>5.2530999999999997E-4</v>
      </c>
    </row>
    <row r="4712" spans="1:2" x14ac:dyDescent="0.25">
      <c r="A4712" s="6">
        <v>42647</v>
      </c>
      <c r="B4712">
        <v>5.2530999999999997E-4</v>
      </c>
    </row>
    <row r="4713" spans="1:2" x14ac:dyDescent="0.25">
      <c r="A4713" s="6">
        <v>42648</v>
      </c>
      <c r="B4713">
        <v>5.2530999999999997E-4</v>
      </c>
    </row>
    <row r="4714" spans="1:2" x14ac:dyDescent="0.25">
      <c r="A4714" s="6">
        <v>42649</v>
      </c>
      <c r="B4714">
        <v>5.2530999999999997E-4</v>
      </c>
    </row>
    <row r="4715" spans="1:2" x14ac:dyDescent="0.25">
      <c r="A4715" s="6">
        <v>42650</v>
      </c>
      <c r="B4715">
        <v>5.2530999999999997E-4</v>
      </c>
    </row>
    <row r="4716" spans="1:2" x14ac:dyDescent="0.25">
      <c r="A4716" s="6">
        <v>42653</v>
      </c>
      <c r="B4716">
        <v>5.2530999999999997E-4</v>
      </c>
    </row>
    <row r="4717" spans="1:2" x14ac:dyDescent="0.25">
      <c r="A4717" s="6">
        <v>42654</v>
      </c>
      <c r="B4717">
        <v>5.2530999999999997E-4</v>
      </c>
    </row>
    <row r="4718" spans="1:2" x14ac:dyDescent="0.25">
      <c r="A4718" s="6">
        <v>42656</v>
      </c>
      <c r="B4718">
        <v>5.2530999999999997E-4</v>
      </c>
    </row>
    <row r="4719" spans="1:2" x14ac:dyDescent="0.25">
      <c r="A4719" s="6">
        <v>42657</v>
      </c>
      <c r="B4719">
        <v>5.2530999999999997E-4</v>
      </c>
    </row>
    <row r="4720" spans="1:2" x14ac:dyDescent="0.25">
      <c r="A4720" s="6">
        <v>42660</v>
      </c>
      <c r="B4720">
        <v>5.2530999999999997E-4</v>
      </c>
    </row>
    <row r="4721" spans="1:2" x14ac:dyDescent="0.25">
      <c r="A4721" s="6">
        <v>42661</v>
      </c>
      <c r="B4721">
        <v>5.2530999999999997E-4</v>
      </c>
    </row>
    <row r="4722" spans="1:2" x14ac:dyDescent="0.25">
      <c r="A4722" s="6">
        <v>42662</v>
      </c>
      <c r="B4722">
        <v>5.2530999999999997E-4</v>
      </c>
    </row>
    <row r="4723" spans="1:2" x14ac:dyDescent="0.25">
      <c r="A4723" s="6">
        <v>42663</v>
      </c>
      <c r="B4723">
        <v>5.1659999999999998E-4</v>
      </c>
    </row>
    <row r="4724" spans="1:2" x14ac:dyDescent="0.25">
      <c r="A4724" s="6">
        <v>42664</v>
      </c>
      <c r="B4724">
        <v>5.1659999999999998E-4</v>
      </c>
    </row>
    <row r="4725" spans="1:2" x14ac:dyDescent="0.25">
      <c r="A4725" s="6">
        <v>42667</v>
      </c>
      <c r="B4725">
        <v>5.1659999999999998E-4</v>
      </c>
    </row>
    <row r="4726" spans="1:2" x14ac:dyDescent="0.25">
      <c r="A4726" s="6">
        <v>42668</v>
      </c>
      <c r="B4726">
        <v>5.1659999999999998E-4</v>
      </c>
    </row>
    <row r="4727" spans="1:2" x14ac:dyDescent="0.25">
      <c r="A4727" s="6">
        <v>42669</v>
      </c>
      <c r="B4727">
        <v>5.1659999999999998E-4</v>
      </c>
    </row>
    <row r="4728" spans="1:2" x14ac:dyDescent="0.25">
      <c r="A4728" s="6">
        <v>42670</v>
      </c>
      <c r="B4728">
        <v>5.1659999999999998E-4</v>
      </c>
    </row>
    <row r="4729" spans="1:2" x14ac:dyDescent="0.25">
      <c r="A4729" s="6">
        <v>42671</v>
      </c>
      <c r="B4729">
        <v>5.1659999999999998E-4</v>
      </c>
    </row>
    <row r="4730" spans="1:2" x14ac:dyDescent="0.25">
      <c r="A4730" s="6">
        <v>42674</v>
      </c>
      <c r="B4730">
        <v>5.1659999999999998E-4</v>
      </c>
    </row>
    <row r="4731" spans="1:2" x14ac:dyDescent="0.25">
      <c r="A4731" s="6">
        <v>42675</v>
      </c>
      <c r="B4731">
        <v>5.1659999999999998E-4</v>
      </c>
    </row>
    <row r="4732" spans="1:2" x14ac:dyDescent="0.25">
      <c r="A4732" s="6">
        <v>42677</v>
      </c>
      <c r="B4732">
        <v>5.1659999999999998E-4</v>
      </c>
    </row>
    <row r="4733" spans="1:2" x14ac:dyDescent="0.25">
      <c r="A4733" s="6">
        <v>42678</v>
      </c>
      <c r="B4733">
        <v>5.1659999999999998E-4</v>
      </c>
    </row>
    <row r="4734" spans="1:2" x14ac:dyDescent="0.25">
      <c r="A4734" s="6">
        <v>42681</v>
      </c>
      <c r="B4734">
        <v>5.1659999999999998E-4</v>
      </c>
    </row>
    <row r="4735" spans="1:2" x14ac:dyDescent="0.25">
      <c r="A4735" s="6">
        <v>42682</v>
      </c>
      <c r="B4735">
        <v>5.1659999999999998E-4</v>
      </c>
    </row>
    <row r="4736" spans="1:2" x14ac:dyDescent="0.25">
      <c r="A4736" s="6">
        <v>42683</v>
      </c>
      <c r="B4736">
        <v>5.1659999999999998E-4</v>
      </c>
    </row>
    <row r="4737" spans="1:2" x14ac:dyDescent="0.25">
      <c r="A4737" s="6">
        <v>42684</v>
      </c>
      <c r="B4737">
        <v>5.1659999999999998E-4</v>
      </c>
    </row>
    <row r="4738" spans="1:2" x14ac:dyDescent="0.25">
      <c r="A4738" s="6">
        <v>42685</v>
      </c>
      <c r="B4738">
        <v>5.1659999999999998E-4</v>
      </c>
    </row>
    <row r="4739" spans="1:2" x14ac:dyDescent="0.25">
      <c r="A4739" s="6">
        <v>42688</v>
      </c>
      <c r="B4739">
        <v>5.1659999999999998E-4</v>
      </c>
    </row>
    <row r="4740" spans="1:2" x14ac:dyDescent="0.25">
      <c r="A4740" s="6">
        <v>42690</v>
      </c>
      <c r="B4740">
        <v>5.1659999999999998E-4</v>
      </c>
    </row>
    <row r="4741" spans="1:2" x14ac:dyDescent="0.25">
      <c r="A4741" s="6">
        <v>42691</v>
      </c>
      <c r="B4741">
        <v>5.1659999999999998E-4</v>
      </c>
    </row>
    <row r="4742" spans="1:2" x14ac:dyDescent="0.25">
      <c r="A4742" s="6">
        <v>42692</v>
      </c>
      <c r="B4742">
        <v>5.1659999999999998E-4</v>
      </c>
    </row>
    <row r="4743" spans="1:2" x14ac:dyDescent="0.25">
      <c r="A4743" s="6">
        <v>42695</v>
      </c>
      <c r="B4743">
        <v>5.1659999999999998E-4</v>
      </c>
    </row>
    <row r="4744" spans="1:2" x14ac:dyDescent="0.25">
      <c r="A4744" s="6">
        <v>42696</v>
      </c>
      <c r="B4744">
        <v>5.1659999999999998E-4</v>
      </c>
    </row>
    <row r="4745" spans="1:2" x14ac:dyDescent="0.25">
      <c r="A4745" s="6">
        <v>42697</v>
      </c>
      <c r="B4745">
        <v>5.1659999999999998E-4</v>
      </c>
    </row>
    <row r="4746" spans="1:2" x14ac:dyDescent="0.25">
      <c r="A4746" s="6">
        <v>42698</v>
      </c>
      <c r="B4746">
        <v>5.1659999999999998E-4</v>
      </c>
    </row>
    <row r="4747" spans="1:2" x14ac:dyDescent="0.25">
      <c r="A4747" s="6">
        <v>42699</v>
      </c>
      <c r="B4747">
        <v>5.1659999999999998E-4</v>
      </c>
    </row>
    <row r="4748" spans="1:2" x14ac:dyDescent="0.25">
      <c r="A4748" s="6">
        <v>42702</v>
      </c>
      <c r="B4748">
        <v>5.1659999999999998E-4</v>
      </c>
    </row>
    <row r="4749" spans="1:2" x14ac:dyDescent="0.25">
      <c r="A4749" s="6">
        <v>42703</v>
      </c>
      <c r="B4749">
        <v>5.1659999999999998E-4</v>
      </c>
    </row>
    <row r="4750" spans="1:2" x14ac:dyDescent="0.25">
      <c r="A4750" s="6">
        <v>42704</v>
      </c>
      <c r="B4750">
        <v>5.1659999999999998E-4</v>
      </c>
    </row>
    <row r="4751" spans="1:2" x14ac:dyDescent="0.25">
      <c r="A4751" s="6">
        <v>42705</v>
      </c>
      <c r="B4751">
        <v>5.0788000000000005E-4</v>
      </c>
    </row>
    <row r="4752" spans="1:2" x14ac:dyDescent="0.25">
      <c r="A4752" s="6">
        <v>42706</v>
      </c>
      <c r="B4752">
        <v>5.0788000000000005E-4</v>
      </c>
    </row>
    <row r="4753" spans="1:2" x14ac:dyDescent="0.25">
      <c r="A4753" s="6">
        <v>42709</v>
      </c>
      <c r="B4753">
        <v>5.0788000000000005E-4</v>
      </c>
    </row>
    <row r="4754" spans="1:2" x14ac:dyDescent="0.25">
      <c r="A4754" s="6">
        <v>42710</v>
      </c>
      <c r="B4754">
        <v>5.0788000000000005E-4</v>
      </c>
    </row>
    <row r="4755" spans="1:2" x14ac:dyDescent="0.25">
      <c r="A4755" s="6">
        <v>42711</v>
      </c>
      <c r="B4755">
        <v>5.0788000000000005E-4</v>
      </c>
    </row>
    <row r="4756" spans="1:2" x14ac:dyDescent="0.25">
      <c r="A4756" s="6">
        <v>42712</v>
      </c>
      <c r="B4756">
        <v>5.0788000000000005E-4</v>
      </c>
    </row>
    <row r="4757" spans="1:2" x14ac:dyDescent="0.25">
      <c r="A4757" s="6">
        <v>42713</v>
      </c>
      <c r="B4757">
        <v>5.0788000000000005E-4</v>
      </c>
    </row>
    <row r="4758" spans="1:2" x14ac:dyDescent="0.25">
      <c r="A4758" s="6">
        <v>42716</v>
      </c>
      <c r="B4758">
        <v>5.0788000000000005E-4</v>
      </c>
    </row>
    <row r="4759" spans="1:2" x14ac:dyDescent="0.25">
      <c r="A4759" s="6">
        <v>42717</v>
      </c>
      <c r="B4759">
        <v>5.0788000000000005E-4</v>
      </c>
    </row>
    <row r="4760" spans="1:2" x14ac:dyDescent="0.25">
      <c r="A4760" s="6">
        <v>42718</v>
      </c>
      <c r="B4760">
        <v>5.0788000000000005E-4</v>
      </c>
    </row>
    <row r="4761" spans="1:2" x14ac:dyDescent="0.25">
      <c r="A4761" s="6">
        <v>42719</v>
      </c>
      <c r="B4761">
        <v>5.0788000000000005E-4</v>
      </c>
    </row>
    <row r="4762" spans="1:2" x14ac:dyDescent="0.25">
      <c r="A4762" s="6">
        <v>42720</v>
      </c>
      <c r="B4762">
        <v>5.0788000000000005E-4</v>
      </c>
    </row>
    <row r="4763" spans="1:2" x14ac:dyDescent="0.25">
      <c r="A4763" s="6">
        <v>42723</v>
      </c>
      <c r="B4763">
        <v>5.0788000000000005E-4</v>
      </c>
    </row>
    <row r="4764" spans="1:2" x14ac:dyDescent="0.25">
      <c r="A4764" s="6">
        <v>42724</v>
      </c>
      <c r="B4764">
        <v>5.0788000000000005E-4</v>
      </c>
    </row>
    <row r="4765" spans="1:2" x14ac:dyDescent="0.25">
      <c r="A4765" s="6">
        <v>42725</v>
      </c>
      <c r="B4765">
        <v>5.0788000000000005E-4</v>
      </c>
    </row>
    <row r="4766" spans="1:2" x14ac:dyDescent="0.25">
      <c r="A4766" s="6">
        <v>42726</v>
      </c>
      <c r="B4766">
        <v>5.0788000000000005E-4</v>
      </c>
    </row>
    <row r="4767" spans="1:2" x14ac:dyDescent="0.25">
      <c r="A4767" s="6">
        <v>42727</v>
      </c>
      <c r="B4767">
        <v>5.0788000000000005E-4</v>
      </c>
    </row>
    <row r="4768" spans="1:2" x14ac:dyDescent="0.25">
      <c r="A4768" s="6">
        <v>42730</v>
      </c>
      <c r="B4768">
        <v>5.0788000000000005E-4</v>
      </c>
    </row>
    <row r="4769" spans="1:2" x14ac:dyDescent="0.25">
      <c r="A4769" s="6">
        <v>42731</v>
      </c>
      <c r="B4769">
        <v>5.0788000000000005E-4</v>
      </c>
    </row>
    <row r="4770" spans="1:2" x14ac:dyDescent="0.25">
      <c r="A4770" s="6">
        <v>42732</v>
      </c>
      <c r="B4770">
        <v>5.0788000000000005E-4</v>
      </c>
    </row>
    <row r="4771" spans="1:2" x14ac:dyDescent="0.25">
      <c r="A4771" s="6">
        <v>42733</v>
      </c>
      <c r="B4771">
        <v>5.0788000000000005E-4</v>
      </c>
    </row>
    <row r="4772" spans="1:2" x14ac:dyDescent="0.25">
      <c r="A4772" s="6">
        <v>42734</v>
      </c>
      <c r="B4772">
        <v>5.0788000000000005E-4</v>
      </c>
    </row>
    <row r="4773" spans="1:2" x14ac:dyDescent="0.25">
      <c r="A4773" s="6">
        <v>42737</v>
      </c>
      <c r="B4773">
        <v>5.0788000000000005E-4</v>
      </c>
    </row>
    <row r="4774" spans="1:2" x14ac:dyDescent="0.25">
      <c r="A4774" s="6">
        <v>42738</v>
      </c>
      <c r="B4774">
        <v>5.0788000000000005E-4</v>
      </c>
    </row>
    <row r="4775" spans="1:2" x14ac:dyDescent="0.25">
      <c r="A4775" s="6">
        <v>42739</v>
      </c>
      <c r="B4775">
        <v>5.0788000000000005E-4</v>
      </c>
    </row>
    <row r="4776" spans="1:2" x14ac:dyDescent="0.25">
      <c r="A4776" s="6">
        <v>42740</v>
      </c>
      <c r="B4776">
        <v>5.0788000000000005E-4</v>
      </c>
    </row>
    <row r="4777" spans="1:2" x14ac:dyDescent="0.25">
      <c r="A4777" s="6">
        <v>42741</v>
      </c>
      <c r="B4777">
        <v>5.0788000000000005E-4</v>
      </c>
    </row>
    <row r="4778" spans="1:2" x14ac:dyDescent="0.25">
      <c r="A4778" s="6">
        <v>42744</v>
      </c>
      <c r="B4778">
        <v>5.0788000000000005E-4</v>
      </c>
    </row>
    <row r="4779" spans="1:2" x14ac:dyDescent="0.25">
      <c r="A4779" s="6">
        <v>42745</v>
      </c>
      <c r="B4779">
        <v>5.0788000000000005E-4</v>
      </c>
    </row>
    <row r="4780" spans="1:2" x14ac:dyDescent="0.25">
      <c r="A4780" s="6">
        <v>42746</v>
      </c>
      <c r="B4780">
        <v>5.0788000000000005E-4</v>
      </c>
    </row>
    <row r="4781" spans="1:2" x14ac:dyDescent="0.25">
      <c r="A4781" s="6">
        <v>42747</v>
      </c>
      <c r="B4781">
        <v>4.8159E-4</v>
      </c>
    </row>
    <row r="4782" spans="1:2" x14ac:dyDescent="0.25">
      <c r="A4782" s="6">
        <v>42748</v>
      </c>
      <c r="B4782">
        <v>4.8159E-4</v>
      </c>
    </row>
    <row r="4783" spans="1:2" x14ac:dyDescent="0.25">
      <c r="A4783" s="6">
        <v>42751</v>
      </c>
      <c r="B4783">
        <v>4.8159E-4</v>
      </c>
    </row>
    <row r="4784" spans="1:2" x14ac:dyDescent="0.25">
      <c r="A4784" s="6">
        <v>42752</v>
      </c>
      <c r="B4784">
        <v>4.8159E-4</v>
      </c>
    </row>
    <row r="4785" spans="1:2" x14ac:dyDescent="0.25">
      <c r="A4785" s="6">
        <v>42753</v>
      </c>
      <c r="B4785">
        <v>4.8159E-4</v>
      </c>
    </row>
    <row r="4786" spans="1:2" x14ac:dyDescent="0.25">
      <c r="A4786" s="6">
        <v>42754</v>
      </c>
      <c r="B4786">
        <v>4.8159E-4</v>
      </c>
    </row>
    <row r="4787" spans="1:2" x14ac:dyDescent="0.25">
      <c r="A4787" s="6">
        <v>42755</v>
      </c>
      <c r="B4787">
        <v>4.8159E-4</v>
      </c>
    </row>
    <row r="4788" spans="1:2" x14ac:dyDescent="0.25">
      <c r="A4788" s="6">
        <v>42758</v>
      </c>
      <c r="B4788">
        <v>4.8159E-4</v>
      </c>
    </row>
    <row r="4789" spans="1:2" x14ac:dyDescent="0.25">
      <c r="A4789" s="6">
        <v>42759</v>
      </c>
      <c r="B4789">
        <v>4.8159E-4</v>
      </c>
    </row>
    <row r="4790" spans="1:2" x14ac:dyDescent="0.25">
      <c r="A4790" s="6">
        <v>42760</v>
      </c>
      <c r="B4790">
        <v>4.8159E-4</v>
      </c>
    </row>
    <row r="4791" spans="1:2" x14ac:dyDescent="0.25">
      <c r="A4791" s="6">
        <v>42761</v>
      </c>
      <c r="B4791">
        <v>4.8159E-4</v>
      </c>
    </row>
    <row r="4792" spans="1:2" x14ac:dyDescent="0.25">
      <c r="A4792" s="6">
        <v>42762</v>
      </c>
      <c r="B4792">
        <v>4.8159E-4</v>
      </c>
    </row>
    <row r="4793" spans="1:2" x14ac:dyDescent="0.25">
      <c r="A4793" s="6">
        <v>42765</v>
      </c>
      <c r="B4793">
        <v>4.8159E-4</v>
      </c>
    </row>
    <row r="4794" spans="1:2" x14ac:dyDescent="0.25">
      <c r="A4794" s="6">
        <v>42766</v>
      </c>
      <c r="B4794">
        <v>4.8159E-4</v>
      </c>
    </row>
    <row r="4795" spans="1:2" x14ac:dyDescent="0.25">
      <c r="A4795" s="6">
        <v>42767</v>
      </c>
      <c r="B4795">
        <v>4.8159E-4</v>
      </c>
    </row>
    <row r="4796" spans="1:2" x14ac:dyDescent="0.25">
      <c r="A4796" s="6">
        <v>42768</v>
      </c>
      <c r="B4796">
        <v>4.8159E-4</v>
      </c>
    </row>
    <row r="4797" spans="1:2" x14ac:dyDescent="0.25">
      <c r="A4797" s="6">
        <v>42769</v>
      </c>
      <c r="B4797">
        <v>4.8159E-4</v>
      </c>
    </row>
    <row r="4798" spans="1:2" x14ac:dyDescent="0.25">
      <c r="A4798" s="6">
        <v>42772</v>
      </c>
      <c r="B4798">
        <v>4.8159E-4</v>
      </c>
    </row>
    <row r="4799" spans="1:2" x14ac:dyDescent="0.25">
      <c r="A4799" s="6">
        <v>42773</v>
      </c>
      <c r="B4799">
        <v>4.8159E-4</v>
      </c>
    </row>
    <row r="4800" spans="1:2" x14ac:dyDescent="0.25">
      <c r="A4800" s="6">
        <v>42774</v>
      </c>
      <c r="B4800">
        <v>4.8159E-4</v>
      </c>
    </row>
    <row r="4801" spans="1:2" x14ac:dyDescent="0.25">
      <c r="A4801" s="6">
        <v>42775</v>
      </c>
      <c r="B4801">
        <v>4.8159E-4</v>
      </c>
    </row>
    <row r="4802" spans="1:2" x14ac:dyDescent="0.25">
      <c r="A4802" s="6">
        <v>42776</v>
      </c>
      <c r="B4802">
        <v>4.8159E-4</v>
      </c>
    </row>
    <row r="4803" spans="1:2" x14ac:dyDescent="0.25">
      <c r="A4803" s="6">
        <v>42779</v>
      </c>
      <c r="B4803">
        <v>4.8159E-4</v>
      </c>
    </row>
    <row r="4804" spans="1:2" x14ac:dyDescent="0.25">
      <c r="A4804" s="6">
        <v>42780</v>
      </c>
      <c r="B4804">
        <v>4.8159E-4</v>
      </c>
    </row>
    <row r="4805" spans="1:2" x14ac:dyDescent="0.25">
      <c r="A4805" s="6">
        <v>42781</v>
      </c>
      <c r="B4805">
        <v>4.8159E-4</v>
      </c>
    </row>
    <row r="4806" spans="1:2" x14ac:dyDescent="0.25">
      <c r="A4806" s="6">
        <v>42782</v>
      </c>
      <c r="B4806">
        <v>4.8159E-4</v>
      </c>
    </row>
    <row r="4807" spans="1:2" x14ac:dyDescent="0.25">
      <c r="A4807" s="6">
        <v>42783</v>
      </c>
      <c r="B4807">
        <v>4.8159E-4</v>
      </c>
    </row>
    <row r="4808" spans="1:2" x14ac:dyDescent="0.25">
      <c r="A4808" s="6">
        <v>42786</v>
      </c>
      <c r="B4808">
        <v>4.8159E-4</v>
      </c>
    </row>
    <row r="4809" spans="1:2" x14ac:dyDescent="0.25">
      <c r="A4809" s="6">
        <v>42787</v>
      </c>
      <c r="B4809">
        <v>4.8159E-4</v>
      </c>
    </row>
    <row r="4810" spans="1:2" x14ac:dyDescent="0.25">
      <c r="A4810" s="6">
        <v>42788</v>
      </c>
      <c r="B4810">
        <v>4.8159E-4</v>
      </c>
    </row>
    <row r="4811" spans="1:2" x14ac:dyDescent="0.25">
      <c r="A4811" s="6">
        <v>42789</v>
      </c>
      <c r="B4811">
        <v>4.5512999999999999E-4</v>
      </c>
    </row>
    <row r="4812" spans="1:2" x14ac:dyDescent="0.25">
      <c r="A4812" s="6">
        <v>42790</v>
      </c>
      <c r="B4812">
        <v>4.5512999999999999E-4</v>
      </c>
    </row>
    <row r="4813" spans="1:2" x14ac:dyDescent="0.25">
      <c r="A4813" s="6">
        <v>42795</v>
      </c>
      <c r="B4813">
        <v>4.5512999999999999E-4</v>
      </c>
    </row>
    <row r="4814" spans="1:2" x14ac:dyDescent="0.25">
      <c r="A4814" s="6">
        <v>42796</v>
      </c>
      <c r="B4814">
        <v>4.5512999999999999E-4</v>
      </c>
    </row>
    <row r="4815" spans="1:2" x14ac:dyDescent="0.25">
      <c r="A4815" s="6">
        <v>42797</v>
      </c>
      <c r="B4815">
        <v>4.5512999999999999E-4</v>
      </c>
    </row>
    <row r="4816" spans="1:2" x14ac:dyDescent="0.25">
      <c r="A4816" s="6">
        <v>42800</v>
      </c>
      <c r="B4816">
        <v>4.5512999999999999E-4</v>
      </c>
    </row>
    <row r="4817" spans="1:2" x14ac:dyDescent="0.25">
      <c r="A4817" s="6">
        <v>42801</v>
      </c>
      <c r="B4817">
        <v>4.5512999999999999E-4</v>
      </c>
    </row>
    <row r="4818" spans="1:2" x14ac:dyDescent="0.25">
      <c r="A4818" s="6">
        <v>42802</v>
      </c>
      <c r="B4818">
        <v>4.5512999999999999E-4</v>
      </c>
    </row>
    <row r="4819" spans="1:2" x14ac:dyDescent="0.25">
      <c r="A4819" s="6">
        <v>42803</v>
      </c>
      <c r="B4819">
        <v>4.5512999999999999E-4</v>
      </c>
    </row>
    <row r="4820" spans="1:2" x14ac:dyDescent="0.25">
      <c r="A4820" s="6">
        <v>42804</v>
      </c>
      <c r="B4820">
        <v>4.5512999999999999E-4</v>
      </c>
    </row>
    <row r="4821" spans="1:2" x14ac:dyDescent="0.25">
      <c r="A4821" s="6">
        <v>42807</v>
      </c>
      <c r="B4821">
        <v>4.5512999999999999E-4</v>
      </c>
    </row>
    <row r="4822" spans="1:2" x14ac:dyDescent="0.25">
      <c r="A4822" s="6">
        <v>42808</v>
      </c>
      <c r="B4822">
        <v>4.5512999999999999E-4</v>
      </c>
    </row>
    <row r="4823" spans="1:2" x14ac:dyDescent="0.25">
      <c r="A4823" s="6">
        <v>42809</v>
      </c>
      <c r="B4823">
        <v>4.5512999999999999E-4</v>
      </c>
    </row>
    <row r="4824" spans="1:2" x14ac:dyDescent="0.25">
      <c r="A4824" s="6">
        <v>42810</v>
      </c>
      <c r="B4824">
        <v>4.5512999999999999E-4</v>
      </c>
    </row>
    <row r="4825" spans="1:2" x14ac:dyDescent="0.25">
      <c r="A4825" s="6">
        <v>42811</v>
      </c>
      <c r="B4825">
        <v>4.5512999999999999E-4</v>
      </c>
    </row>
    <row r="4826" spans="1:2" x14ac:dyDescent="0.25">
      <c r="A4826" s="6">
        <v>42814</v>
      </c>
      <c r="B4826">
        <v>4.5512999999999999E-4</v>
      </c>
    </row>
    <row r="4827" spans="1:2" x14ac:dyDescent="0.25">
      <c r="A4827" s="6">
        <v>42815</v>
      </c>
      <c r="B4827">
        <v>4.5512999999999999E-4</v>
      </c>
    </row>
    <row r="4828" spans="1:2" x14ac:dyDescent="0.25">
      <c r="A4828" s="6">
        <v>42816</v>
      </c>
      <c r="B4828">
        <v>4.5512999999999999E-4</v>
      </c>
    </row>
    <row r="4829" spans="1:2" x14ac:dyDescent="0.25">
      <c r="A4829" s="6">
        <v>42817</v>
      </c>
      <c r="B4829">
        <v>4.5512999999999999E-4</v>
      </c>
    </row>
    <row r="4830" spans="1:2" x14ac:dyDescent="0.25">
      <c r="A4830" s="6">
        <v>42818</v>
      </c>
      <c r="B4830">
        <v>4.5512999999999999E-4</v>
      </c>
    </row>
    <row r="4831" spans="1:2" x14ac:dyDescent="0.25">
      <c r="A4831" s="6">
        <v>42821</v>
      </c>
      <c r="B4831">
        <v>4.5512999999999999E-4</v>
      </c>
    </row>
    <row r="4832" spans="1:2" x14ac:dyDescent="0.25">
      <c r="A4832" s="6">
        <v>42822</v>
      </c>
      <c r="B4832">
        <v>4.5512999999999999E-4</v>
      </c>
    </row>
    <row r="4833" spans="1:2" x14ac:dyDescent="0.25">
      <c r="A4833" s="6">
        <v>42823</v>
      </c>
      <c r="B4833">
        <v>4.5512999999999999E-4</v>
      </c>
    </row>
    <row r="4834" spans="1:2" x14ac:dyDescent="0.25">
      <c r="A4834" s="6">
        <v>42824</v>
      </c>
      <c r="B4834">
        <v>4.5512999999999999E-4</v>
      </c>
    </row>
    <row r="4835" spans="1:2" x14ac:dyDescent="0.25">
      <c r="A4835" s="6">
        <v>42825</v>
      </c>
      <c r="B4835">
        <v>4.5512999999999999E-4</v>
      </c>
    </row>
    <row r="4836" spans="1:2" x14ac:dyDescent="0.25">
      <c r="A4836" s="6">
        <v>42828</v>
      </c>
      <c r="B4836">
        <v>4.5512999999999999E-4</v>
      </c>
    </row>
    <row r="4837" spans="1:2" x14ac:dyDescent="0.25">
      <c r="A4837" s="6">
        <v>42829</v>
      </c>
      <c r="B4837">
        <v>4.5512999999999999E-4</v>
      </c>
    </row>
    <row r="4838" spans="1:2" x14ac:dyDescent="0.25">
      <c r="A4838" s="6">
        <v>42830</v>
      </c>
      <c r="B4838">
        <v>4.5512999999999999E-4</v>
      </c>
    </row>
    <row r="4839" spans="1:2" x14ac:dyDescent="0.25">
      <c r="A4839" s="6">
        <v>42831</v>
      </c>
      <c r="B4839">
        <v>4.5512999999999999E-4</v>
      </c>
    </row>
    <row r="4840" spans="1:2" x14ac:dyDescent="0.25">
      <c r="A4840" s="6">
        <v>42832</v>
      </c>
      <c r="B4840">
        <v>4.5512999999999999E-4</v>
      </c>
    </row>
    <row r="4841" spans="1:2" x14ac:dyDescent="0.25">
      <c r="A4841" s="6">
        <v>42835</v>
      </c>
      <c r="B4841">
        <v>4.5512999999999999E-4</v>
      </c>
    </row>
    <row r="4842" spans="1:2" x14ac:dyDescent="0.25">
      <c r="A4842" s="6">
        <v>42836</v>
      </c>
      <c r="B4842">
        <v>4.5512999999999999E-4</v>
      </c>
    </row>
    <row r="4843" spans="1:2" x14ac:dyDescent="0.25">
      <c r="A4843" s="6">
        <v>42837</v>
      </c>
      <c r="B4843">
        <v>4.5512999999999999E-4</v>
      </c>
    </row>
    <row r="4844" spans="1:2" x14ac:dyDescent="0.25">
      <c r="A4844" s="6">
        <v>42838</v>
      </c>
      <c r="B4844">
        <v>4.1957000000000002E-4</v>
      </c>
    </row>
    <row r="4845" spans="1:2" x14ac:dyDescent="0.25">
      <c r="A4845" s="6">
        <v>42842</v>
      </c>
      <c r="B4845">
        <v>4.1957000000000002E-4</v>
      </c>
    </row>
    <row r="4846" spans="1:2" x14ac:dyDescent="0.25">
      <c r="A4846" s="6">
        <v>42843</v>
      </c>
      <c r="B4846">
        <v>4.1957000000000002E-4</v>
      </c>
    </row>
    <row r="4847" spans="1:2" x14ac:dyDescent="0.25">
      <c r="A4847" s="6">
        <v>42844</v>
      </c>
      <c r="B4847">
        <v>4.1957000000000002E-4</v>
      </c>
    </row>
    <row r="4848" spans="1:2" x14ac:dyDescent="0.25">
      <c r="A4848" s="6">
        <v>42845</v>
      </c>
      <c r="B4848">
        <v>4.1957000000000002E-4</v>
      </c>
    </row>
    <row r="4849" spans="1:2" x14ac:dyDescent="0.25">
      <c r="A4849" s="6">
        <v>42849</v>
      </c>
      <c r="B4849">
        <v>4.1957000000000002E-4</v>
      </c>
    </row>
    <row r="4850" spans="1:2" x14ac:dyDescent="0.25">
      <c r="A4850" s="6">
        <v>42850</v>
      </c>
      <c r="B4850">
        <v>4.1957000000000002E-4</v>
      </c>
    </row>
    <row r="4851" spans="1:2" x14ac:dyDescent="0.25">
      <c r="A4851" s="6">
        <v>42851</v>
      </c>
      <c r="B4851">
        <v>4.1957000000000002E-4</v>
      </c>
    </row>
    <row r="4852" spans="1:2" x14ac:dyDescent="0.25">
      <c r="A4852" s="6">
        <v>42852</v>
      </c>
      <c r="B4852">
        <v>4.1957000000000002E-4</v>
      </c>
    </row>
    <row r="4853" spans="1:2" x14ac:dyDescent="0.25">
      <c r="A4853" s="6">
        <v>42853</v>
      </c>
      <c r="B4853">
        <v>4.1957000000000002E-4</v>
      </c>
    </row>
    <row r="4854" spans="1:2" x14ac:dyDescent="0.25">
      <c r="A4854" s="6">
        <v>42857</v>
      </c>
      <c r="B4854">
        <v>4.1957000000000002E-4</v>
      </c>
    </row>
    <row r="4855" spans="1:2" x14ac:dyDescent="0.25">
      <c r="A4855" s="6">
        <v>42858</v>
      </c>
      <c r="B4855">
        <v>4.1957000000000002E-4</v>
      </c>
    </row>
    <row r="4856" spans="1:2" x14ac:dyDescent="0.25">
      <c r="A4856" s="6">
        <v>42859</v>
      </c>
      <c r="B4856">
        <v>4.1957000000000002E-4</v>
      </c>
    </row>
    <row r="4857" spans="1:2" x14ac:dyDescent="0.25">
      <c r="A4857" s="6">
        <v>42860</v>
      </c>
      <c r="B4857">
        <v>4.1957000000000002E-4</v>
      </c>
    </row>
    <row r="4858" spans="1:2" x14ac:dyDescent="0.25">
      <c r="A4858" s="6">
        <v>42863</v>
      </c>
      <c r="B4858">
        <v>4.1957000000000002E-4</v>
      </c>
    </row>
    <row r="4859" spans="1:2" x14ac:dyDescent="0.25">
      <c r="A4859" s="6">
        <v>42864</v>
      </c>
      <c r="B4859">
        <v>4.1957000000000002E-4</v>
      </c>
    </row>
    <row r="4860" spans="1:2" x14ac:dyDescent="0.25">
      <c r="A4860" s="6">
        <v>42865</v>
      </c>
      <c r="B4860">
        <v>4.1957000000000002E-4</v>
      </c>
    </row>
    <row r="4861" spans="1:2" x14ac:dyDescent="0.25">
      <c r="A4861" s="6">
        <v>42866</v>
      </c>
      <c r="B4861">
        <v>4.1957000000000002E-4</v>
      </c>
    </row>
    <row r="4862" spans="1:2" x14ac:dyDescent="0.25">
      <c r="A4862" s="6">
        <v>42867</v>
      </c>
      <c r="B4862">
        <v>4.1957000000000002E-4</v>
      </c>
    </row>
    <row r="4863" spans="1:2" x14ac:dyDescent="0.25">
      <c r="A4863" s="6">
        <v>42870</v>
      </c>
      <c r="B4863">
        <v>4.1957000000000002E-4</v>
      </c>
    </row>
    <row r="4864" spans="1:2" x14ac:dyDescent="0.25">
      <c r="A4864" s="6">
        <v>42871</v>
      </c>
      <c r="B4864">
        <v>4.1957000000000002E-4</v>
      </c>
    </row>
    <row r="4865" spans="1:2" x14ac:dyDescent="0.25">
      <c r="A4865" s="6">
        <v>42872</v>
      </c>
      <c r="B4865">
        <v>4.1957000000000002E-4</v>
      </c>
    </row>
    <row r="4866" spans="1:2" x14ac:dyDescent="0.25">
      <c r="A4866" s="6">
        <v>42873</v>
      </c>
      <c r="B4866">
        <v>4.1957000000000002E-4</v>
      </c>
    </row>
    <row r="4867" spans="1:2" x14ac:dyDescent="0.25">
      <c r="A4867" s="6">
        <v>42874</v>
      </c>
      <c r="B4867">
        <v>4.1957000000000002E-4</v>
      </c>
    </row>
    <row r="4868" spans="1:2" x14ac:dyDescent="0.25">
      <c r="A4868" s="6">
        <v>42877</v>
      </c>
      <c r="B4868">
        <v>4.1957000000000002E-4</v>
      </c>
    </row>
    <row r="4869" spans="1:2" x14ac:dyDescent="0.25">
      <c r="A4869" s="6">
        <v>42878</v>
      </c>
      <c r="B4869">
        <v>4.1957000000000002E-4</v>
      </c>
    </row>
    <row r="4870" spans="1:2" x14ac:dyDescent="0.25">
      <c r="A4870" s="6">
        <v>42879</v>
      </c>
      <c r="B4870">
        <v>4.1957000000000002E-4</v>
      </c>
    </row>
    <row r="4871" spans="1:2" x14ac:dyDescent="0.25">
      <c r="A4871" s="6">
        <v>42880</v>
      </c>
      <c r="B4871">
        <v>4.1957000000000002E-4</v>
      </c>
    </row>
    <row r="4872" spans="1:2" x14ac:dyDescent="0.25">
      <c r="A4872" s="6">
        <v>42881</v>
      </c>
      <c r="B4872">
        <v>4.1957000000000002E-4</v>
      </c>
    </row>
    <row r="4873" spans="1:2" x14ac:dyDescent="0.25">
      <c r="A4873" s="6">
        <v>42884</v>
      </c>
      <c r="B4873">
        <v>4.1957000000000002E-4</v>
      </c>
    </row>
    <row r="4874" spans="1:2" x14ac:dyDescent="0.25">
      <c r="A4874" s="6">
        <v>42885</v>
      </c>
      <c r="B4874">
        <v>4.1957000000000002E-4</v>
      </c>
    </row>
    <row r="4875" spans="1:2" x14ac:dyDescent="0.25">
      <c r="A4875" s="6">
        <v>42886</v>
      </c>
      <c r="B4875">
        <v>4.1957000000000002E-4</v>
      </c>
    </row>
    <row r="4876" spans="1:2" x14ac:dyDescent="0.25">
      <c r="A4876" s="6">
        <v>42887</v>
      </c>
      <c r="B4876">
        <v>3.837E-4</v>
      </c>
    </row>
    <row r="4877" spans="1:2" x14ac:dyDescent="0.25">
      <c r="A4877" s="6">
        <v>42888</v>
      </c>
      <c r="B4877">
        <v>3.837E-4</v>
      </c>
    </row>
    <row r="4878" spans="1:2" x14ac:dyDescent="0.25">
      <c r="A4878" s="6">
        <v>42891</v>
      </c>
      <c r="B4878">
        <v>3.837E-4</v>
      </c>
    </row>
    <row r="4879" spans="1:2" x14ac:dyDescent="0.25">
      <c r="A4879" s="6">
        <v>42892</v>
      </c>
      <c r="B4879">
        <v>3.837E-4</v>
      </c>
    </row>
    <row r="4880" spans="1:2" x14ac:dyDescent="0.25">
      <c r="A4880" s="6">
        <v>42893</v>
      </c>
      <c r="B4880">
        <v>3.837E-4</v>
      </c>
    </row>
    <row r="4881" spans="1:2" x14ac:dyDescent="0.25">
      <c r="A4881" s="6">
        <v>42894</v>
      </c>
      <c r="B4881">
        <v>3.837E-4</v>
      </c>
    </row>
    <row r="4882" spans="1:2" x14ac:dyDescent="0.25">
      <c r="A4882" s="6">
        <v>42895</v>
      </c>
      <c r="B4882">
        <v>3.837E-4</v>
      </c>
    </row>
    <row r="4883" spans="1:2" x14ac:dyDescent="0.25">
      <c r="A4883" s="6">
        <v>42898</v>
      </c>
      <c r="B4883">
        <v>3.837E-4</v>
      </c>
    </row>
    <row r="4884" spans="1:2" x14ac:dyDescent="0.25">
      <c r="A4884" s="6">
        <v>42899</v>
      </c>
      <c r="B4884">
        <v>3.837E-4</v>
      </c>
    </row>
    <row r="4885" spans="1:2" x14ac:dyDescent="0.25">
      <c r="A4885" s="6">
        <v>42900</v>
      </c>
      <c r="B4885">
        <v>3.837E-4</v>
      </c>
    </row>
    <row r="4886" spans="1:2" x14ac:dyDescent="0.25">
      <c r="A4886" s="6">
        <v>42902</v>
      </c>
      <c r="B4886">
        <v>3.837E-4</v>
      </c>
    </row>
    <row r="4887" spans="1:2" x14ac:dyDescent="0.25">
      <c r="A4887" s="6">
        <v>42905</v>
      </c>
      <c r="B4887">
        <v>3.837E-4</v>
      </c>
    </row>
    <row r="4888" spans="1:2" x14ac:dyDescent="0.25">
      <c r="A4888" s="6">
        <v>42906</v>
      </c>
      <c r="B4888">
        <v>3.837E-4</v>
      </c>
    </row>
    <row r="4889" spans="1:2" x14ac:dyDescent="0.25">
      <c r="A4889" s="6">
        <v>42907</v>
      </c>
      <c r="B4889">
        <v>3.837E-4</v>
      </c>
    </row>
    <row r="4890" spans="1:2" x14ac:dyDescent="0.25">
      <c r="A4890" s="6">
        <v>42908</v>
      </c>
      <c r="B4890">
        <v>3.837E-4</v>
      </c>
    </row>
    <row r="4891" spans="1:2" x14ac:dyDescent="0.25">
      <c r="A4891" s="6">
        <v>42909</v>
      </c>
      <c r="B4891">
        <v>3.837E-4</v>
      </c>
    </row>
    <row r="4892" spans="1:2" x14ac:dyDescent="0.25">
      <c r="A4892" s="6">
        <v>42912</v>
      </c>
      <c r="B4892">
        <v>3.837E-4</v>
      </c>
    </row>
    <row r="4893" spans="1:2" x14ac:dyDescent="0.25">
      <c r="A4893" s="6">
        <v>42913</v>
      </c>
      <c r="B4893">
        <v>3.837E-4</v>
      </c>
    </row>
    <row r="4894" spans="1:2" x14ac:dyDescent="0.25">
      <c r="A4894" s="6">
        <v>42914</v>
      </c>
      <c r="B4894">
        <v>3.837E-4</v>
      </c>
    </row>
    <row r="4895" spans="1:2" x14ac:dyDescent="0.25">
      <c r="A4895" s="6">
        <v>42915</v>
      </c>
      <c r="B4895">
        <v>3.837E-4</v>
      </c>
    </row>
    <row r="4896" spans="1:2" x14ac:dyDescent="0.25">
      <c r="A4896" s="6">
        <v>42916</v>
      </c>
      <c r="B4896">
        <v>3.837E-4</v>
      </c>
    </row>
    <row r="4897" spans="1:2" x14ac:dyDescent="0.25">
      <c r="A4897" s="6">
        <v>42919</v>
      </c>
      <c r="B4897">
        <v>3.837E-4</v>
      </c>
    </row>
    <row r="4898" spans="1:2" x14ac:dyDescent="0.25">
      <c r="A4898" s="6">
        <v>42920</v>
      </c>
      <c r="B4898">
        <v>3.837E-4</v>
      </c>
    </row>
    <row r="4899" spans="1:2" x14ac:dyDescent="0.25">
      <c r="A4899" s="6">
        <v>42921</v>
      </c>
      <c r="B4899">
        <v>3.837E-4</v>
      </c>
    </row>
    <row r="4900" spans="1:2" x14ac:dyDescent="0.25">
      <c r="A4900" s="6">
        <v>42922</v>
      </c>
      <c r="B4900">
        <v>3.837E-4</v>
      </c>
    </row>
    <row r="4901" spans="1:2" x14ac:dyDescent="0.25">
      <c r="A4901" s="6">
        <v>42923</v>
      </c>
      <c r="B4901">
        <v>3.837E-4</v>
      </c>
    </row>
    <row r="4902" spans="1:2" x14ac:dyDescent="0.25">
      <c r="A4902" s="6">
        <v>42926</v>
      </c>
      <c r="B4902">
        <v>3.837E-4</v>
      </c>
    </row>
    <row r="4903" spans="1:2" x14ac:dyDescent="0.25">
      <c r="A4903" s="6">
        <v>42927</v>
      </c>
      <c r="B4903">
        <v>3.837E-4</v>
      </c>
    </row>
    <row r="4904" spans="1:2" x14ac:dyDescent="0.25">
      <c r="A4904" s="6">
        <v>42928</v>
      </c>
      <c r="B4904">
        <v>3.837E-4</v>
      </c>
    </row>
    <row r="4905" spans="1:2" x14ac:dyDescent="0.25">
      <c r="A4905" s="6">
        <v>42929</v>
      </c>
      <c r="B4905">
        <v>3.837E-4</v>
      </c>
    </row>
    <row r="4906" spans="1:2" x14ac:dyDescent="0.25">
      <c r="A4906" s="6">
        <v>42930</v>
      </c>
      <c r="B4906">
        <v>3.837E-4</v>
      </c>
    </row>
    <row r="4907" spans="1:2" x14ac:dyDescent="0.25">
      <c r="A4907" s="6">
        <v>42933</v>
      </c>
      <c r="B4907">
        <v>3.837E-4</v>
      </c>
    </row>
    <row r="4908" spans="1:2" x14ac:dyDescent="0.25">
      <c r="A4908" s="6">
        <v>42934</v>
      </c>
      <c r="B4908">
        <v>3.837E-4</v>
      </c>
    </row>
    <row r="4909" spans="1:2" x14ac:dyDescent="0.25">
      <c r="A4909" s="6">
        <v>42935</v>
      </c>
      <c r="B4909">
        <v>3.837E-4</v>
      </c>
    </row>
    <row r="4910" spans="1:2" x14ac:dyDescent="0.25">
      <c r="A4910" s="6">
        <v>42936</v>
      </c>
      <c r="B4910">
        <v>3.837E-4</v>
      </c>
    </row>
    <row r="4911" spans="1:2" x14ac:dyDescent="0.25">
      <c r="A4911" s="6">
        <v>42937</v>
      </c>
      <c r="B4911">
        <v>3.837E-4</v>
      </c>
    </row>
    <row r="4912" spans="1:2" x14ac:dyDescent="0.25">
      <c r="A4912" s="6">
        <v>42940</v>
      </c>
      <c r="B4912">
        <v>3.837E-4</v>
      </c>
    </row>
    <row r="4913" spans="1:2" x14ac:dyDescent="0.25">
      <c r="A4913" s="6">
        <v>42941</v>
      </c>
      <c r="B4913">
        <v>3.837E-4</v>
      </c>
    </row>
    <row r="4914" spans="1:2" x14ac:dyDescent="0.25">
      <c r="A4914" s="6">
        <v>42942</v>
      </c>
      <c r="B4914">
        <v>3.837E-4</v>
      </c>
    </row>
    <row r="4915" spans="1:2" x14ac:dyDescent="0.25">
      <c r="A4915" s="6">
        <v>42943</v>
      </c>
      <c r="B4915">
        <v>3.4749E-4</v>
      </c>
    </row>
    <row r="4916" spans="1:2" x14ac:dyDescent="0.25">
      <c r="A4916" s="6">
        <v>42944</v>
      </c>
      <c r="B4916">
        <v>3.4749E-4</v>
      </c>
    </row>
    <row r="4917" spans="1:2" x14ac:dyDescent="0.25">
      <c r="A4917" s="6">
        <v>42947</v>
      </c>
      <c r="B4917">
        <v>3.4749E-4</v>
      </c>
    </row>
    <row r="4918" spans="1:2" x14ac:dyDescent="0.25">
      <c r="A4918" s="6">
        <v>42948</v>
      </c>
      <c r="B4918">
        <v>3.4749E-4</v>
      </c>
    </row>
    <row r="4919" spans="1:2" x14ac:dyDescent="0.25">
      <c r="A4919" s="6">
        <v>42949</v>
      </c>
      <c r="B4919">
        <v>3.4749E-4</v>
      </c>
    </row>
    <row r="4920" spans="1:2" x14ac:dyDescent="0.25">
      <c r="A4920" s="6">
        <v>42950</v>
      </c>
      <c r="B4920">
        <v>3.4749E-4</v>
      </c>
    </row>
    <row r="4921" spans="1:2" x14ac:dyDescent="0.25">
      <c r="A4921" s="6">
        <v>42951</v>
      </c>
      <c r="B4921">
        <v>3.4749E-4</v>
      </c>
    </row>
    <row r="4922" spans="1:2" x14ac:dyDescent="0.25">
      <c r="A4922" s="6">
        <v>42954</v>
      </c>
      <c r="B4922">
        <v>3.4749E-4</v>
      </c>
    </row>
    <row r="4923" spans="1:2" x14ac:dyDescent="0.25">
      <c r="A4923" s="6">
        <v>42955</v>
      </c>
      <c r="B4923">
        <v>3.4749E-4</v>
      </c>
    </row>
    <row r="4924" spans="1:2" x14ac:dyDescent="0.25">
      <c r="A4924" s="6">
        <v>42956</v>
      </c>
      <c r="B4924">
        <v>3.4749E-4</v>
      </c>
    </row>
    <row r="4925" spans="1:2" x14ac:dyDescent="0.25">
      <c r="A4925" s="6">
        <v>42957</v>
      </c>
      <c r="B4925">
        <v>3.4749E-4</v>
      </c>
    </row>
    <row r="4926" spans="1:2" x14ac:dyDescent="0.25">
      <c r="A4926" s="6">
        <v>42958</v>
      </c>
      <c r="B4926">
        <v>3.4749E-4</v>
      </c>
    </row>
    <row r="4927" spans="1:2" x14ac:dyDescent="0.25">
      <c r="A4927" s="6">
        <v>42961</v>
      </c>
      <c r="B4927">
        <v>3.4749E-4</v>
      </c>
    </row>
    <row r="4928" spans="1:2" x14ac:dyDescent="0.25">
      <c r="A4928" s="6">
        <v>42962</v>
      </c>
      <c r="B4928">
        <v>3.4749E-4</v>
      </c>
    </row>
    <row r="4929" spans="1:2" x14ac:dyDescent="0.25">
      <c r="A4929" s="6">
        <v>42963</v>
      </c>
      <c r="B4929">
        <v>3.4749E-4</v>
      </c>
    </row>
    <row r="4930" spans="1:2" x14ac:dyDescent="0.25">
      <c r="A4930" s="6">
        <v>42964</v>
      </c>
      <c r="B4930">
        <v>3.4749E-4</v>
      </c>
    </row>
    <row r="4931" spans="1:2" x14ac:dyDescent="0.25">
      <c r="A4931" s="6">
        <v>42965</v>
      </c>
      <c r="B4931">
        <v>3.4749E-4</v>
      </c>
    </row>
    <row r="4932" spans="1:2" x14ac:dyDescent="0.25">
      <c r="A4932" s="6">
        <v>42968</v>
      </c>
      <c r="B4932">
        <v>3.4749E-4</v>
      </c>
    </row>
    <row r="4933" spans="1:2" x14ac:dyDescent="0.25">
      <c r="A4933" s="6">
        <v>42969</v>
      </c>
      <c r="B4933">
        <v>3.4749E-4</v>
      </c>
    </row>
    <row r="4934" spans="1:2" x14ac:dyDescent="0.25">
      <c r="A4934" s="6">
        <v>42970</v>
      </c>
      <c r="B4934">
        <v>3.4749E-4</v>
      </c>
    </row>
    <row r="4935" spans="1:2" x14ac:dyDescent="0.25">
      <c r="A4935" s="6">
        <v>42971</v>
      </c>
      <c r="B4935">
        <v>3.4749E-4</v>
      </c>
    </row>
    <row r="4936" spans="1:2" x14ac:dyDescent="0.25">
      <c r="A4936" s="6">
        <v>42972</v>
      </c>
      <c r="B4936">
        <v>3.4749E-4</v>
      </c>
    </row>
    <row r="4937" spans="1:2" x14ac:dyDescent="0.25">
      <c r="A4937" s="6">
        <v>42975</v>
      </c>
      <c r="B4937">
        <v>3.4749E-4</v>
      </c>
    </row>
    <row r="4938" spans="1:2" x14ac:dyDescent="0.25">
      <c r="A4938" s="6">
        <v>42976</v>
      </c>
      <c r="B4938">
        <v>3.4749E-4</v>
      </c>
    </row>
    <row r="4939" spans="1:2" x14ac:dyDescent="0.25">
      <c r="A4939" s="6">
        <v>42977</v>
      </c>
      <c r="B4939">
        <v>3.4749E-4</v>
      </c>
    </row>
    <row r="4940" spans="1:2" x14ac:dyDescent="0.25">
      <c r="A4940" s="6">
        <v>42978</v>
      </c>
      <c r="B4940">
        <v>3.4749E-4</v>
      </c>
    </row>
    <row r="4941" spans="1:2" x14ac:dyDescent="0.25">
      <c r="A4941" s="6">
        <v>42979</v>
      </c>
      <c r="B4941">
        <v>3.4749E-4</v>
      </c>
    </row>
    <row r="4942" spans="1:2" x14ac:dyDescent="0.25">
      <c r="A4942" s="6">
        <v>42982</v>
      </c>
      <c r="B4942">
        <v>3.4749E-4</v>
      </c>
    </row>
    <row r="4943" spans="1:2" x14ac:dyDescent="0.25">
      <c r="A4943" s="6">
        <v>42983</v>
      </c>
      <c r="B4943">
        <v>3.4749E-4</v>
      </c>
    </row>
    <row r="4944" spans="1:2" x14ac:dyDescent="0.25">
      <c r="A4944" s="6">
        <v>42984</v>
      </c>
      <c r="B4944">
        <v>3.4749E-4</v>
      </c>
    </row>
    <row r="4945" spans="1:2" x14ac:dyDescent="0.25">
      <c r="A4945" s="6">
        <v>42986</v>
      </c>
      <c r="B4945">
        <v>3.1095999999999999E-4</v>
      </c>
    </row>
    <row r="4946" spans="1:2" x14ac:dyDescent="0.25">
      <c r="A4946" s="6">
        <v>42989</v>
      </c>
      <c r="B4946">
        <v>3.1095999999999999E-4</v>
      </c>
    </row>
    <row r="4947" spans="1:2" x14ac:dyDescent="0.25">
      <c r="A4947" s="6">
        <v>42990</v>
      </c>
      <c r="B4947">
        <v>3.1095999999999999E-4</v>
      </c>
    </row>
    <row r="4948" spans="1:2" x14ac:dyDescent="0.25">
      <c r="A4948" s="6">
        <v>42991</v>
      </c>
      <c r="B4948">
        <v>3.1095999999999999E-4</v>
      </c>
    </row>
    <row r="4949" spans="1:2" x14ac:dyDescent="0.25">
      <c r="A4949" s="6">
        <v>42992</v>
      </c>
      <c r="B4949">
        <v>3.1095999999999999E-4</v>
      </c>
    </row>
    <row r="4950" spans="1:2" x14ac:dyDescent="0.25">
      <c r="A4950" s="6">
        <v>42993</v>
      </c>
      <c r="B4950">
        <v>3.1095999999999999E-4</v>
      </c>
    </row>
    <row r="4951" spans="1:2" x14ac:dyDescent="0.25">
      <c r="A4951" s="6">
        <v>42996</v>
      </c>
      <c r="B4951">
        <v>3.1095999999999999E-4</v>
      </c>
    </row>
    <row r="4952" spans="1:2" x14ac:dyDescent="0.25">
      <c r="A4952" s="6">
        <v>42997</v>
      </c>
      <c r="B4952">
        <v>3.1095999999999999E-4</v>
      </c>
    </row>
    <row r="4953" spans="1:2" x14ac:dyDescent="0.25">
      <c r="A4953" s="6">
        <v>42998</v>
      </c>
      <c r="B4953">
        <v>3.1095999999999999E-4</v>
      </c>
    </row>
    <row r="4954" spans="1:2" x14ac:dyDescent="0.25">
      <c r="A4954" s="6">
        <v>42999</v>
      </c>
      <c r="B4954">
        <v>3.1095999999999999E-4</v>
      </c>
    </row>
    <row r="4955" spans="1:2" x14ac:dyDescent="0.25">
      <c r="A4955" s="6">
        <v>43000</v>
      </c>
      <c r="B4955">
        <v>3.1095999999999999E-4</v>
      </c>
    </row>
    <row r="4956" spans="1:2" x14ac:dyDescent="0.25">
      <c r="A4956" s="6">
        <v>43003</v>
      </c>
      <c r="B4956">
        <v>3.1095999999999999E-4</v>
      </c>
    </row>
    <row r="4957" spans="1:2" x14ac:dyDescent="0.25">
      <c r="A4957" s="6">
        <v>43004</v>
      </c>
      <c r="B4957">
        <v>3.1095999999999999E-4</v>
      </c>
    </row>
    <row r="4958" spans="1:2" x14ac:dyDescent="0.25">
      <c r="A4958" s="6">
        <v>43005</v>
      </c>
      <c r="B4958">
        <v>3.1095999999999999E-4</v>
      </c>
    </row>
    <row r="4959" spans="1:2" x14ac:dyDescent="0.25">
      <c r="A4959" s="6">
        <v>43006</v>
      </c>
      <c r="B4959">
        <v>3.1095999999999999E-4</v>
      </c>
    </row>
    <row r="4960" spans="1:2" x14ac:dyDescent="0.25">
      <c r="A4960" s="6">
        <v>43007</v>
      </c>
      <c r="B4960">
        <v>3.1095999999999999E-4</v>
      </c>
    </row>
    <row r="4961" spans="1:2" x14ac:dyDescent="0.25">
      <c r="A4961" s="6">
        <v>43010</v>
      </c>
      <c r="B4961">
        <v>3.1095999999999999E-4</v>
      </c>
    </row>
    <row r="4962" spans="1:2" x14ac:dyDescent="0.25">
      <c r="A4962" s="6">
        <v>43011</v>
      </c>
      <c r="B4962">
        <v>3.1095999999999999E-4</v>
      </c>
    </row>
    <row r="4963" spans="1:2" x14ac:dyDescent="0.25">
      <c r="A4963" s="6">
        <v>43012</v>
      </c>
      <c r="B4963">
        <v>3.1095999999999999E-4</v>
      </c>
    </row>
    <row r="4964" spans="1:2" x14ac:dyDescent="0.25">
      <c r="A4964" s="6">
        <v>43013</v>
      </c>
      <c r="B4964">
        <v>3.1095999999999999E-4</v>
      </c>
    </row>
    <row r="4965" spans="1:2" x14ac:dyDescent="0.25">
      <c r="A4965" s="6">
        <v>43014</v>
      </c>
      <c r="B4965">
        <v>3.1095999999999999E-4</v>
      </c>
    </row>
    <row r="4966" spans="1:2" x14ac:dyDescent="0.25">
      <c r="A4966" s="6">
        <v>43017</v>
      </c>
      <c r="B4966">
        <v>3.1095999999999999E-4</v>
      </c>
    </row>
    <row r="4967" spans="1:2" x14ac:dyDescent="0.25">
      <c r="A4967" s="6">
        <v>43018</v>
      </c>
      <c r="B4967">
        <v>3.1095999999999999E-4</v>
      </c>
    </row>
    <row r="4968" spans="1:2" x14ac:dyDescent="0.25">
      <c r="A4968" s="6">
        <v>43019</v>
      </c>
      <c r="B4968">
        <v>3.1095999999999999E-4</v>
      </c>
    </row>
    <row r="4969" spans="1:2" x14ac:dyDescent="0.25">
      <c r="A4969" s="6">
        <v>43021</v>
      </c>
      <c r="B4969">
        <v>3.1095999999999999E-4</v>
      </c>
    </row>
    <row r="4970" spans="1:2" x14ac:dyDescent="0.25">
      <c r="A4970" s="6">
        <v>43024</v>
      </c>
      <c r="B4970">
        <v>3.1095999999999999E-4</v>
      </c>
    </row>
    <row r="4971" spans="1:2" x14ac:dyDescent="0.25">
      <c r="A4971" s="6">
        <v>43025</v>
      </c>
      <c r="B4971">
        <v>3.1095999999999999E-4</v>
      </c>
    </row>
    <row r="4972" spans="1:2" x14ac:dyDescent="0.25">
      <c r="A4972" s="6">
        <v>43026</v>
      </c>
      <c r="B4972">
        <v>3.1095999999999999E-4</v>
      </c>
    </row>
    <row r="4973" spans="1:2" x14ac:dyDescent="0.25">
      <c r="A4973" s="6">
        <v>43027</v>
      </c>
      <c r="B4973">
        <v>3.1095999999999999E-4</v>
      </c>
    </row>
    <row r="4974" spans="1:2" x14ac:dyDescent="0.25">
      <c r="A4974" s="6">
        <v>43028</v>
      </c>
      <c r="B4974">
        <v>3.1095999999999999E-4</v>
      </c>
    </row>
    <row r="4975" spans="1:2" x14ac:dyDescent="0.25">
      <c r="A4975" s="6">
        <v>43031</v>
      </c>
      <c r="B4975">
        <v>3.1095999999999999E-4</v>
      </c>
    </row>
    <row r="4976" spans="1:2" x14ac:dyDescent="0.25">
      <c r="A4976" s="6">
        <v>43032</v>
      </c>
      <c r="B4976">
        <v>3.1095999999999999E-4</v>
      </c>
    </row>
    <row r="4977" spans="1:2" x14ac:dyDescent="0.25">
      <c r="A4977" s="6">
        <v>43033</v>
      </c>
      <c r="B4977">
        <v>3.1095999999999999E-4</v>
      </c>
    </row>
    <row r="4978" spans="1:2" x14ac:dyDescent="0.25">
      <c r="A4978" s="6">
        <v>43034</v>
      </c>
      <c r="B4978">
        <v>2.8332999999999999E-4</v>
      </c>
    </row>
    <row r="4979" spans="1:2" x14ac:dyDescent="0.25">
      <c r="A4979" s="6">
        <v>43035</v>
      </c>
      <c r="B4979">
        <v>2.8332999999999999E-4</v>
      </c>
    </row>
    <row r="4980" spans="1:2" x14ac:dyDescent="0.25">
      <c r="A4980" s="6">
        <v>43038</v>
      </c>
      <c r="B4980">
        <v>2.8332999999999999E-4</v>
      </c>
    </row>
    <row r="4981" spans="1:2" x14ac:dyDescent="0.25">
      <c r="A4981" s="6">
        <v>43039</v>
      </c>
      <c r="B4981">
        <v>2.8332999999999999E-4</v>
      </c>
    </row>
    <row r="4982" spans="1:2" x14ac:dyDescent="0.25">
      <c r="A4982" s="6">
        <v>43040</v>
      </c>
      <c r="B4982">
        <v>2.8332999999999999E-4</v>
      </c>
    </row>
    <row r="4983" spans="1:2" x14ac:dyDescent="0.25">
      <c r="A4983" s="6">
        <v>43042</v>
      </c>
      <c r="B4983">
        <v>2.8332999999999999E-4</v>
      </c>
    </row>
    <row r="4984" spans="1:2" x14ac:dyDescent="0.25">
      <c r="A4984" s="6">
        <v>43045</v>
      </c>
      <c r="B4984">
        <v>2.8332999999999999E-4</v>
      </c>
    </row>
    <row r="4985" spans="1:2" x14ac:dyDescent="0.25">
      <c r="A4985" s="6">
        <v>43046</v>
      </c>
      <c r="B4985">
        <v>2.8332999999999999E-4</v>
      </c>
    </row>
    <row r="4986" spans="1:2" x14ac:dyDescent="0.25">
      <c r="A4986" s="6">
        <v>43047</v>
      </c>
      <c r="B4986">
        <v>2.8332999999999999E-4</v>
      </c>
    </row>
    <row r="4987" spans="1:2" x14ac:dyDescent="0.25">
      <c r="A4987" s="6">
        <v>43048</v>
      </c>
      <c r="B4987">
        <v>2.8332999999999999E-4</v>
      </c>
    </row>
    <row r="4988" spans="1:2" x14ac:dyDescent="0.25">
      <c r="A4988" s="6">
        <v>43049</v>
      </c>
      <c r="B4988">
        <v>2.8332999999999999E-4</v>
      </c>
    </row>
    <row r="4989" spans="1:2" x14ac:dyDescent="0.25">
      <c r="A4989" s="6">
        <v>43052</v>
      </c>
      <c r="B4989">
        <v>2.8332999999999999E-4</v>
      </c>
    </row>
    <row r="4990" spans="1:2" x14ac:dyDescent="0.25">
      <c r="A4990" s="6">
        <v>43053</v>
      </c>
      <c r="B4990">
        <v>2.8332999999999999E-4</v>
      </c>
    </row>
    <row r="4991" spans="1:2" x14ac:dyDescent="0.25">
      <c r="A4991" s="6">
        <v>43055</v>
      </c>
      <c r="B4991">
        <v>2.8332999999999999E-4</v>
      </c>
    </row>
    <row r="4992" spans="1:2" x14ac:dyDescent="0.25">
      <c r="A4992" s="6">
        <v>43056</v>
      </c>
      <c r="B4992">
        <v>2.8332999999999999E-4</v>
      </c>
    </row>
    <row r="4993" spans="1:2" x14ac:dyDescent="0.25">
      <c r="A4993" s="6">
        <v>43059</v>
      </c>
      <c r="B4993">
        <v>2.8332999999999999E-4</v>
      </c>
    </row>
    <row r="4994" spans="1:2" x14ac:dyDescent="0.25">
      <c r="A4994" s="6">
        <v>43060</v>
      </c>
      <c r="B4994">
        <v>2.8332999999999999E-4</v>
      </c>
    </row>
    <row r="4995" spans="1:2" x14ac:dyDescent="0.25">
      <c r="A4995" s="6">
        <v>43061</v>
      </c>
      <c r="B4995">
        <v>2.8332999999999999E-4</v>
      </c>
    </row>
    <row r="4996" spans="1:2" x14ac:dyDescent="0.25">
      <c r="A4996" s="6">
        <v>43062</v>
      </c>
      <c r="B4996">
        <v>2.8332999999999999E-4</v>
      </c>
    </row>
    <row r="4997" spans="1:2" x14ac:dyDescent="0.25">
      <c r="A4997" s="6">
        <v>43063</v>
      </c>
      <c r="B4997">
        <v>2.8332999999999999E-4</v>
      </c>
    </row>
    <row r="4998" spans="1:2" x14ac:dyDescent="0.25">
      <c r="A4998" s="6">
        <v>43066</v>
      </c>
      <c r="B4998">
        <v>2.8332999999999999E-4</v>
      </c>
    </row>
    <row r="4999" spans="1:2" x14ac:dyDescent="0.25">
      <c r="A4999" s="6">
        <v>43067</v>
      </c>
      <c r="B4999">
        <v>2.8332999999999999E-4</v>
      </c>
    </row>
    <row r="5000" spans="1:2" x14ac:dyDescent="0.25">
      <c r="A5000" s="6">
        <v>43068</v>
      </c>
      <c r="B5000">
        <v>2.8332999999999999E-4</v>
      </c>
    </row>
    <row r="5001" spans="1:2" x14ac:dyDescent="0.25">
      <c r="A5001" s="6">
        <v>43069</v>
      </c>
      <c r="B5001">
        <v>2.8332999999999999E-4</v>
      </c>
    </row>
    <row r="5002" spans="1:2" x14ac:dyDescent="0.25">
      <c r="A5002" s="6">
        <v>43070</v>
      </c>
      <c r="B5002">
        <v>2.8332999999999999E-4</v>
      </c>
    </row>
    <row r="5003" spans="1:2" x14ac:dyDescent="0.25">
      <c r="A5003" s="6">
        <v>43073</v>
      </c>
      <c r="B5003">
        <v>2.8332999999999999E-4</v>
      </c>
    </row>
    <row r="5004" spans="1:2" x14ac:dyDescent="0.25">
      <c r="A5004" s="6">
        <v>43074</v>
      </c>
      <c r="B5004">
        <v>2.8332999999999999E-4</v>
      </c>
    </row>
    <row r="5005" spans="1:2" x14ac:dyDescent="0.25">
      <c r="A5005" s="6">
        <v>43075</v>
      </c>
      <c r="B5005">
        <v>2.8332999999999999E-4</v>
      </c>
    </row>
    <row r="5006" spans="1:2" x14ac:dyDescent="0.25">
      <c r="A5006" s="6">
        <v>43076</v>
      </c>
      <c r="B5006">
        <v>2.6481000000000003E-4</v>
      </c>
    </row>
    <row r="5007" spans="1:2" x14ac:dyDescent="0.25">
      <c r="A5007" s="6">
        <v>43077</v>
      </c>
      <c r="B5007">
        <v>2.6481000000000003E-4</v>
      </c>
    </row>
    <row r="5008" spans="1:2" x14ac:dyDescent="0.25">
      <c r="A5008" s="6">
        <v>43080</v>
      </c>
      <c r="B5008">
        <v>2.6481000000000003E-4</v>
      </c>
    </row>
    <row r="5009" spans="1:2" x14ac:dyDescent="0.25">
      <c r="A5009" s="6">
        <v>43081</v>
      </c>
      <c r="B5009">
        <v>2.6481000000000003E-4</v>
      </c>
    </row>
    <row r="5010" spans="1:2" x14ac:dyDescent="0.25">
      <c r="A5010" s="6">
        <v>43082</v>
      </c>
      <c r="B5010">
        <v>2.6481000000000003E-4</v>
      </c>
    </row>
    <row r="5011" spans="1:2" x14ac:dyDescent="0.25">
      <c r="A5011" s="6">
        <v>43083</v>
      </c>
      <c r="B5011">
        <v>2.6481000000000003E-4</v>
      </c>
    </row>
    <row r="5012" spans="1:2" x14ac:dyDescent="0.25">
      <c r="A5012" s="6">
        <v>43084</v>
      </c>
      <c r="B5012">
        <v>2.6481000000000003E-4</v>
      </c>
    </row>
    <row r="5013" spans="1:2" x14ac:dyDescent="0.25">
      <c r="A5013" s="6">
        <v>43087</v>
      </c>
      <c r="B5013">
        <v>2.6481000000000003E-4</v>
      </c>
    </row>
    <row r="5014" spans="1:2" x14ac:dyDescent="0.25">
      <c r="A5014" s="6">
        <v>43088</v>
      </c>
      <c r="B5014">
        <v>2.6481000000000003E-4</v>
      </c>
    </row>
    <row r="5015" spans="1:2" x14ac:dyDescent="0.25">
      <c r="A5015" s="6">
        <v>43089</v>
      </c>
      <c r="B5015">
        <v>2.6481000000000003E-4</v>
      </c>
    </row>
    <row r="5016" spans="1:2" x14ac:dyDescent="0.25">
      <c r="A5016" s="6">
        <v>43090</v>
      </c>
      <c r="B5016">
        <v>2.6481000000000003E-4</v>
      </c>
    </row>
    <row r="5017" spans="1:2" x14ac:dyDescent="0.25">
      <c r="A5017" s="6">
        <v>43091</v>
      </c>
      <c r="B5017">
        <v>2.6481000000000003E-4</v>
      </c>
    </row>
    <row r="5018" spans="1:2" x14ac:dyDescent="0.25">
      <c r="A5018" s="6">
        <v>43095</v>
      </c>
      <c r="B5018">
        <v>2.6481000000000003E-4</v>
      </c>
    </row>
    <row r="5019" spans="1:2" x14ac:dyDescent="0.25">
      <c r="A5019" s="6">
        <v>43096</v>
      </c>
      <c r="B5019">
        <v>2.6481000000000003E-4</v>
      </c>
    </row>
    <row r="5020" spans="1:2" x14ac:dyDescent="0.25">
      <c r="A5020" s="6">
        <v>43097</v>
      </c>
      <c r="B5020">
        <v>2.6481000000000003E-4</v>
      </c>
    </row>
    <row r="5021" spans="1:2" x14ac:dyDescent="0.25">
      <c r="A5021" s="6">
        <v>43098</v>
      </c>
      <c r="B5021">
        <v>2.6481000000000003E-4</v>
      </c>
    </row>
    <row r="5022" spans="1:2" x14ac:dyDescent="0.25">
      <c r="A5022" s="6">
        <v>43102</v>
      </c>
      <c r="B5022">
        <v>2.6481000000000003E-4</v>
      </c>
    </row>
    <row r="5023" spans="1:2" x14ac:dyDescent="0.25">
      <c r="A5023" s="6">
        <v>43103</v>
      </c>
      <c r="B5023">
        <v>2.6481000000000003E-4</v>
      </c>
    </row>
    <row r="5024" spans="1:2" x14ac:dyDescent="0.25">
      <c r="A5024" s="6">
        <v>43104</v>
      </c>
      <c r="B5024">
        <v>2.6481000000000003E-4</v>
      </c>
    </row>
    <row r="5025" spans="1:2" x14ac:dyDescent="0.25">
      <c r="A5025" s="6">
        <v>43105</v>
      </c>
      <c r="B5025">
        <v>2.6481000000000003E-4</v>
      </c>
    </row>
    <row r="5026" spans="1:2" x14ac:dyDescent="0.25">
      <c r="A5026" s="6">
        <v>43108</v>
      </c>
      <c r="B5026">
        <v>2.6481000000000003E-4</v>
      </c>
    </row>
    <row r="5027" spans="1:2" x14ac:dyDescent="0.25">
      <c r="A5027" s="6">
        <v>43109</v>
      </c>
      <c r="B5027">
        <v>2.6481000000000003E-4</v>
      </c>
    </row>
    <row r="5028" spans="1:2" x14ac:dyDescent="0.25">
      <c r="A5028" s="6">
        <v>43110</v>
      </c>
      <c r="B5028">
        <v>2.6481000000000003E-4</v>
      </c>
    </row>
    <row r="5029" spans="1:2" x14ac:dyDescent="0.25">
      <c r="A5029" s="6">
        <v>43111</v>
      </c>
      <c r="B5029">
        <v>2.6481000000000003E-4</v>
      </c>
    </row>
    <row r="5030" spans="1:2" x14ac:dyDescent="0.25">
      <c r="A5030" s="6">
        <v>43112</v>
      </c>
      <c r="B5030">
        <v>2.6481000000000003E-4</v>
      </c>
    </row>
    <row r="5031" spans="1:2" x14ac:dyDescent="0.25">
      <c r="A5031" s="6">
        <v>43115</v>
      </c>
      <c r="B5031">
        <v>2.6481000000000003E-4</v>
      </c>
    </row>
    <row r="5032" spans="1:2" x14ac:dyDescent="0.25">
      <c r="A5032" s="6">
        <v>43116</v>
      </c>
      <c r="B5032">
        <v>2.6481000000000003E-4</v>
      </c>
    </row>
    <row r="5033" spans="1:2" x14ac:dyDescent="0.25">
      <c r="A5033" s="6">
        <v>43117</v>
      </c>
      <c r="B5033">
        <v>2.6481000000000003E-4</v>
      </c>
    </row>
    <row r="5034" spans="1:2" x14ac:dyDescent="0.25">
      <c r="A5034" s="6">
        <v>43118</v>
      </c>
      <c r="B5034">
        <v>2.6481000000000003E-4</v>
      </c>
    </row>
    <row r="5035" spans="1:2" x14ac:dyDescent="0.25">
      <c r="A5035" s="6">
        <v>43119</v>
      </c>
      <c r="B5035">
        <v>2.6481000000000003E-4</v>
      </c>
    </row>
    <row r="5036" spans="1:2" x14ac:dyDescent="0.25">
      <c r="A5036" s="6">
        <v>43122</v>
      </c>
      <c r="B5036">
        <v>2.6481000000000003E-4</v>
      </c>
    </row>
    <row r="5037" spans="1:2" x14ac:dyDescent="0.25">
      <c r="A5037" s="6">
        <v>43123</v>
      </c>
      <c r="B5037">
        <v>2.6481000000000003E-4</v>
      </c>
    </row>
    <row r="5038" spans="1:2" x14ac:dyDescent="0.25">
      <c r="A5038" s="6">
        <v>43124</v>
      </c>
      <c r="B5038">
        <v>2.6481000000000003E-4</v>
      </c>
    </row>
    <row r="5039" spans="1:2" x14ac:dyDescent="0.25">
      <c r="A5039" s="6">
        <v>43125</v>
      </c>
      <c r="B5039">
        <v>2.6481000000000003E-4</v>
      </c>
    </row>
    <row r="5040" spans="1:2" x14ac:dyDescent="0.25">
      <c r="A5040" s="6">
        <v>43126</v>
      </c>
      <c r="B5040">
        <v>2.6481000000000003E-4</v>
      </c>
    </row>
    <row r="5041" spans="1:2" x14ac:dyDescent="0.25">
      <c r="A5041" s="6">
        <v>43129</v>
      </c>
      <c r="B5041">
        <v>2.6481000000000003E-4</v>
      </c>
    </row>
    <row r="5042" spans="1:2" x14ac:dyDescent="0.25">
      <c r="A5042" s="6">
        <v>43130</v>
      </c>
      <c r="B5042">
        <v>2.6481000000000003E-4</v>
      </c>
    </row>
    <row r="5043" spans="1:2" x14ac:dyDescent="0.25">
      <c r="A5043" s="6">
        <v>43131</v>
      </c>
      <c r="B5043">
        <v>2.6481000000000003E-4</v>
      </c>
    </row>
    <row r="5044" spans="1:2" x14ac:dyDescent="0.25">
      <c r="A5044" s="6">
        <v>43132</v>
      </c>
      <c r="B5044">
        <v>2.6481000000000003E-4</v>
      </c>
    </row>
    <row r="5045" spans="1:2" x14ac:dyDescent="0.25">
      <c r="A5045" s="6">
        <v>43133</v>
      </c>
      <c r="B5045">
        <v>2.6481000000000003E-4</v>
      </c>
    </row>
    <row r="5046" spans="1:2" x14ac:dyDescent="0.25">
      <c r="A5046" s="6">
        <v>43136</v>
      </c>
      <c r="B5046">
        <v>2.6481000000000003E-4</v>
      </c>
    </row>
    <row r="5047" spans="1:2" x14ac:dyDescent="0.25">
      <c r="A5047" s="6">
        <v>43137</v>
      </c>
      <c r="B5047">
        <v>2.6481000000000003E-4</v>
      </c>
    </row>
    <row r="5048" spans="1:2" x14ac:dyDescent="0.25">
      <c r="A5048" s="6">
        <v>43138</v>
      </c>
      <c r="B5048">
        <v>2.6481000000000003E-4</v>
      </c>
    </row>
    <row r="5049" spans="1:2" x14ac:dyDescent="0.25">
      <c r="A5049" s="6">
        <v>43139</v>
      </c>
      <c r="B5049">
        <v>2.5551999999999997E-4</v>
      </c>
    </row>
    <row r="5050" spans="1:2" x14ac:dyDescent="0.25">
      <c r="A5050" s="6">
        <v>43140</v>
      </c>
      <c r="B5050">
        <v>2.5551999999999997E-4</v>
      </c>
    </row>
    <row r="5051" spans="1:2" x14ac:dyDescent="0.25">
      <c r="A5051" s="6">
        <v>43145</v>
      </c>
      <c r="B5051">
        <v>2.5551999999999997E-4</v>
      </c>
    </row>
    <row r="5052" spans="1:2" x14ac:dyDescent="0.25">
      <c r="A5052" s="6">
        <v>43146</v>
      </c>
      <c r="B5052">
        <v>2.5551999999999997E-4</v>
      </c>
    </row>
    <row r="5053" spans="1:2" x14ac:dyDescent="0.25">
      <c r="A5053" s="6">
        <v>43147</v>
      </c>
      <c r="B5053">
        <v>2.5551999999999997E-4</v>
      </c>
    </row>
    <row r="5054" spans="1:2" x14ac:dyDescent="0.25">
      <c r="A5054" s="6">
        <v>43150</v>
      </c>
      <c r="B5054">
        <v>2.5551999999999997E-4</v>
      </c>
    </row>
    <row r="5055" spans="1:2" x14ac:dyDescent="0.25">
      <c r="A5055" s="6">
        <v>43151</v>
      </c>
      <c r="B5055">
        <v>2.5551999999999997E-4</v>
      </c>
    </row>
    <row r="5056" spans="1:2" x14ac:dyDescent="0.25">
      <c r="A5056" s="6">
        <v>43152</v>
      </c>
      <c r="B5056">
        <v>2.5551999999999997E-4</v>
      </c>
    </row>
    <row r="5057" spans="1:2" x14ac:dyDescent="0.25">
      <c r="A5057" s="6">
        <v>43153</v>
      </c>
      <c r="B5057">
        <v>2.5551999999999997E-4</v>
      </c>
    </row>
    <row r="5058" spans="1:2" x14ac:dyDescent="0.25">
      <c r="A5058" s="6">
        <v>43154</v>
      </c>
      <c r="B5058">
        <v>2.5551999999999997E-4</v>
      </c>
    </row>
    <row r="5059" spans="1:2" x14ac:dyDescent="0.25">
      <c r="A5059" s="6">
        <v>43157</v>
      </c>
      <c r="B5059">
        <v>2.5551999999999997E-4</v>
      </c>
    </row>
    <row r="5060" spans="1:2" x14ac:dyDescent="0.25">
      <c r="A5060" s="6">
        <v>43158</v>
      </c>
      <c r="B5060">
        <v>2.5551999999999997E-4</v>
      </c>
    </row>
    <row r="5061" spans="1:2" x14ac:dyDescent="0.25">
      <c r="A5061" s="6">
        <v>43159</v>
      </c>
      <c r="B5061">
        <v>2.5551999999999997E-4</v>
      </c>
    </row>
    <row r="5062" spans="1:2" x14ac:dyDescent="0.25">
      <c r="A5062" s="6">
        <v>43160</v>
      </c>
      <c r="B5062">
        <v>2.5551999999999997E-4</v>
      </c>
    </row>
    <row r="5063" spans="1:2" x14ac:dyDescent="0.25">
      <c r="A5063" s="6">
        <v>43161</v>
      </c>
      <c r="B5063">
        <v>2.5551999999999997E-4</v>
      </c>
    </row>
    <row r="5064" spans="1:2" x14ac:dyDescent="0.25">
      <c r="A5064" s="6">
        <v>43164</v>
      </c>
      <c r="B5064">
        <v>2.5551999999999997E-4</v>
      </c>
    </row>
    <row r="5065" spans="1:2" x14ac:dyDescent="0.25">
      <c r="A5065" s="6">
        <v>43165</v>
      </c>
      <c r="B5065">
        <v>2.5551999999999997E-4</v>
      </c>
    </row>
    <row r="5066" spans="1:2" x14ac:dyDescent="0.25">
      <c r="A5066" s="6">
        <v>43166</v>
      </c>
      <c r="B5066">
        <v>2.5551999999999997E-4</v>
      </c>
    </row>
    <row r="5067" spans="1:2" x14ac:dyDescent="0.25">
      <c r="A5067" s="6">
        <v>43167</v>
      </c>
      <c r="B5067">
        <v>2.5551999999999997E-4</v>
      </c>
    </row>
    <row r="5068" spans="1:2" x14ac:dyDescent="0.25">
      <c r="A5068" s="6">
        <v>43168</v>
      </c>
      <c r="B5068">
        <v>2.5551999999999997E-4</v>
      </c>
    </row>
    <row r="5069" spans="1:2" x14ac:dyDescent="0.25">
      <c r="A5069" s="6">
        <v>43171</v>
      </c>
      <c r="B5069">
        <v>2.5551999999999997E-4</v>
      </c>
    </row>
    <row r="5070" spans="1:2" x14ac:dyDescent="0.25">
      <c r="A5070" s="6">
        <v>43172</v>
      </c>
      <c r="B5070">
        <v>2.5551999999999997E-4</v>
      </c>
    </row>
    <row r="5071" spans="1:2" x14ac:dyDescent="0.25">
      <c r="A5071" s="6">
        <v>43173</v>
      </c>
      <c r="B5071">
        <v>2.5551999999999997E-4</v>
      </c>
    </row>
    <row r="5072" spans="1:2" x14ac:dyDescent="0.25">
      <c r="A5072" s="6">
        <v>43174</v>
      </c>
      <c r="B5072">
        <v>2.5551999999999997E-4</v>
      </c>
    </row>
    <row r="5073" spans="1:2" x14ac:dyDescent="0.25">
      <c r="A5073" s="6">
        <v>43175</v>
      </c>
      <c r="B5073">
        <v>2.5551999999999997E-4</v>
      </c>
    </row>
    <row r="5074" spans="1:2" x14ac:dyDescent="0.25">
      <c r="A5074" s="6">
        <v>43178</v>
      </c>
      <c r="B5074">
        <v>2.5551999999999997E-4</v>
      </c>
    </row>
    <row r="5075" spans="1:2" x14ac:dyDescent="0.25">
      <c r="A5075" s="6">
        <v>43179</v>
      </c>
      <c r="B5075">
        <v>2.5551999999999997E-4</v>
      </c>
    </row>
    <row r="5076" spans="1:2" x14ac:dyDescent="0.25">
      <c r="A5076" s="6">
        <v>43180</v>
      </c>
      <c r="B5076">
        <v>2.5551999999999997E-4</v>
      </c>
    </row>
    <row r="5077" spans="1:2" x14ac:dyDescent="0.25">
      <c r="A5077" s="6">
        <v>43181</v>
      </c>
      <c r="B5077">
        <v>2.4620000000000002E-4</v>
      </c>
    </row>
    <row r="5078" spans="1:2" x14ac:dyDescent="0.25">
      <c r="A5078" s="6">
        <v>43182</v>
      </c>
      <c r="B5078">
        <v>2.4620000000000002E-4</v>
      </c>
    </row>
    <row r="5079" spans="1:2" x14ac:dyDescent="0.25">
      <c r="A5079" s="6">
        <v>43185</v>
      </c>
      <c r="B5079">
        <v>2.4620000000000002E-4</v>
      </c>
    </row>
    <row r="5080" spans="1:2" x14ac:dyDescent="0.25">
      <c r="A5080" s="6">
        <v>43186</v>
      </c>
      <c r="B5080">
        <v>2.4620000000000002E-4</v>
      </c>
    </row>
    <row r="5081" spans="1:2" x14ac:dyDescent="0.25">
      <c r="A5081" s="6">
        <v>43187</v>
      </c>
      <c r="B5081">
        <v>2.4620000000000002E-4</v>
      </c>
    </row>
    <row r="5082" spans="1:2" x14ac:dyDescent="0.25">
      <c r="A5082" s="6">
        <v>43188</v>
      </c>
      <c r="B5082">
        <v>2.4620000000000002E-4</v>
      </c>
    </row>
    <row r="5083" spans="1:2" x14ac:dyDescent="0.25">
      <c r="A5083" s="6">
        <v>43192</v>
      </c>
      <c r="B5083">
        <v>2.4620000000000002E-4</v>
      </c>
    </row>
    <row r="5084" spans="1:2" x14ac:dyDescent="0.25">
      <c r="A5084" s="6">
        <v>43193</v>
      </c>
      <c r="B5084">
        <v>2.4620000000000002E-4</v>
      </c>
    </row>
    <row r="5085" spans="1:2" x14ac:dyDescent="0.25">
      <c r="A5085" s="6">
        <v>43194</v>
      </c>
      <c r="B5085">
        <v>2.4620000000000002E-4</v>
      </c>
    </row>
    <row r="5086" spans="1:2" x14ac:dyDescent="0.25">
      <c r="A5086" s="6">
        <v>43195</v>
      </c>
      <c r="B5086">
        <v>2.4620000000000002E-4</v>
      </c>
    </row>
    <row r="5087" spans="1:2" x14ac:dyDescent="0.25">
      <c r="A5087" s="6">
        <v>43196</v>
      </c>
      <c r="B5087">
        <v>2.4620000000000002E-4</v>
      </c>
    </row>
    <row r="5088" spans="1:2" x14ac:dyDescent="0.25">
      <c r="A5088" s="6">
        <v>43199</v>
      </c>
      <c r="B5088">
        <v>2.4620000000000002E-4</v>
      </c>
    </row>
    <row r="5089" spans="1:2" x14ac:dyDescent="0.25">
      <c r="A5089" s="6">
        <v>43200</v>
      </c>
      <c r="B5089">
        <v>2.4620000000000002E-4</v>
      </c>
    </row>
    <row r="5090" spans="1:2" x14ac:dyDescent="0.25">
      <c r="A5090" s="6">
        <v>43201</v>
      </c>
      <c r="B5090">
        <v>2.4620000000000002E-4</v>
      </c>
    </row>
    <row r="5091" spans="1:2" x14ac:dyDescent="0.25">
      <c r="A5091" s="6">
        <v>43202</v>
      </c>
      <c r="B5091">
        <v>2.4620000000000002E-4</v>
      </c>
    </row>
    <row r="5092" spans="1:2" x14ac:dyDescent="0.25">
      <c r="A5092" s="6">
        <v>43203</v>
      </c>
      <c r="B5092">
        <v>2.4620000000000002E-4</v>
      </c>
    </row>
    <row r="5093" spans="1:2" x14ac:dyDescent="0.25">
      <c r="A5093" s="6">
        <v>43206</v>
      </c>
      <c r="B5093">
        <v>2.4620000000000002E-4</v>
      </c>
    </row>
    <row r="5094" spans="1:2" x14ac:dyDescent="0.25">
      <c r="A5094" s="6">
        <v>43207</v>
      </c>
      <c r="B5094">
        <v>2.4620000000000002E-4</v>
      </c>
    </row>
    <row r="5095" spans="1:2" x14ac:dyDescent="0.25">
      <c r="A5095" s="6">
        <v>43208</v>
      </c>
      <c r="B5095">
        <v>2.4620000000000002E-4</v>
      </c>
    </row>
    <row r="5096" spans="1:2" x14ac:dyDescent="0.25">
      <c r="A5096" s="6">
        <v>43209</v>
      </c>
      <c r="B5096">
        <v>2.4620000000000002E-4</v>
      </c>
    </row>
    <row r="5097" spans="1:2" x14ac:dyDescent="0.25">
      <c r="A5097" s="6">
        <v>43210</v>
      </c>
      <c r="B5097">
        <v>2.4620000000000002E-4</v>
      </c>
    </row>
    <row r="5098" spans="1:2" x14ac:dyDescent="0.25">
      <c r="A5098" s="6">
        <v>43213</v>
      </c>
      <c r="B5098">
        <v>2.4620000000000002E-4</v>
      </c>
    </row>
    <row r="5099" spans="1:2" x14ac:dyDescent="0.25">
      <c r="A5099" s="6">
        <v>43214</v>
      </c>
      <c r="B5099">
        <v>2.4620000000000002E-4</v>
      </c>
    </row>
    <row r="5100" spans="1:2" x14ac:dyDescent="0.25">
      <c r="A5100" s="6">
        <v>43215</v>
      </c>
      <c r="B5100">
        <v>2.4620000000000002E-4</v>
      </c>
    </row>
    <row r="5101" spans="1:2" x14ac:dyDescent="0.25">
      <c r="A5101" s="6">
        <v>43216</v>
      </c>
      <c r="B5101">
        <v>2.4620000000000002E-4</v>
      </c>
    </row>
    <row r="5102" spans="1:2" x14ac:dyDescent="0.25">
      <c r="A5102" s="6">
        <v>43217</v>
      </c>
      <c r="B5102">
        <v>2.4620000000000002E-4</v>
      </c>
    </row>
    <row r="5103" spans="1:2" x14ac:dyDescent="0.25">
      <c r="A5103" s="6">
        <v>43220</v>
      </c>
      <c r="B5103">
        <v>2.4620000000000002E-4</v>
      </c>
    </row>
    <row r="5104" spans="1:2" x14ac:dyDescent="0.25">
      <c r="A5104" s="6">
        <v>43222</v>
      </c>
      <c r="B5104">
        <v>2.4620000000000002E-4</v>
      </c>
    </row>
    <row r="5105" spans="1:2" x14ac:dyDescent="0.25">
      <c r="A5105" s="6">
        <v>43223</v>
      </c>
      <c r="B5105">
        <v>2.4620000000000002E-4</v>
      </c>
    </row>
    <row r="5106" spans="1:2" x14ac:dyDescent="0.25">
      <c r="A5106" s="6">
        <v>43224</v>
      </c>
      <c r="B5106">
        <v>2.4620000000000002E-4</v>
      </c>
    </row>
    <row r="5107" spans="1:2" x14ac:dyDescent="0.25">
      <c r="A5107" s="6">
        <v>43227</v>
      </c>
      <c r="B5107">
        <v>2.4620000000000002E-4</v>
      </c>
    </row>
    <row r="5108" spans="1:2" x14ac:dyDescent="0.25">
      <c r="A5108" s="6">
        <v>43228</v>
      </c>
      <c r="B5108">
        <v>2.4620000000000002E-4</v>
      </c>
    </row>
    <row r="5109" spans="1:2" x14ac:dyDescent="0.25">
      <c r="A5109" s="6">
        <v>43229</v>
      </c>
      <c r="B5109">
        <v>2.4620000000000002E-4</v>
      </c>
    </row>
    <row r="5110" spans="1:2" x14ac:dyDescent="0.25">
      <c r="A5110" s="6">
        <v>43230</v>
      </c>
      <c r="B5110">
        <v>2.4620000000000002E-4</v>
      </c>
    </row>
    <row r="5111" spans="1:2" x14ac:dyDescent="0.25">
      <c r="A5111" s="6">
        <v>43231</v>
      </c>
      <c r="B5111">
        <v>2.4620000000000002E-4</v>
      </c>
    </row>
    <row r="5112" spans="1:2" x14ac:dyDescent="0.25">
      <c r="A5112" s="6">
        <v>43234</v>
      </c>
      <c r="B5112">
        <v>2.4620000000000002E-4</v>
      </c>
    </row>
    <row r="5113" spans="1:2" x14ac:dyDescent="0.25">
      <c r="A5113" s="6">
        <v>43235</v>
      </c>
      <c r="B5113">
        <v>2.4620000000000002E-4</v>
      </c>
    </row>
    <row r="5114" spans="1:2" x14ac:dyDescent="0.25">
      <c r="A5114" s="6">
        <v>43236</v>
      </c>
      <c r="B5114">
        <v>2.4620000000000002E-4</v>
      </c>
    </row>
    <row r="5115" spans="1:2" x14ac:dyDescent="0.25">
      <c r="A5115" s="6">
        <v>43237</v>
      </c>
      <c r="B5115">
        <v>2.4620000000000002E-4</v>
      </c>
    </row>
    <row r="5116" spans="1:2" x14ac:dyDescent="0.25">
      <c r="A5116" s="6">
        <v>43238</v>
      </c>
      <c r="B5116">
        <v>2.4620000000000002E-4</v>
      </c>
    </row>
    <row r="5117" spans="1:2" x14ac:dyDescent="0.25">
      <c r="A5117" s="6">
        <v>43241</v>
      </c>
      <c r="B5117">
        <v>2.4620000000000002E-4</v>
      </c>
    </row>
    <row r="5118" spans="1:2" x14ac:dyDescent="0.25">
      <c r="A5118" s="6">
        <v>43242</v>
      </c>
      <c r="B5118">
        <v>2.4620000000000002E-4</v>
      </c>
    </row>
    <row r="5119" spans="1:2" x14ac:dyDescent="0.25">
      <c r="A5119" s="6">
        <v>43243</v>
      </c>
      <c r="B5119">
        <v>2.4620000000000002E-4</v>
      </c>
    </row>
    <row r="5120" spans="1:2" x14ac:dyDescent="0.25">
      <c r="A5120" s="6">
        <v>43244</v>
      </c>
      <c r="B5120">
        <v>2.4620000000000002E-4</v>
      </c>
    </row>
    <row r="5121" spans="1:2" x14ac:dyDescent="0.25">
      <c r="A5121" s="6">
        <v>43245</v>
      </c>
      <c r="B5121">
        <v>2.4620000000000002E-4</v>
      </c>
    </row>
    <row r="5122" spans="1:2" x14ac:dyDescent="0.25">
      <c r="A5122" s="6">
        <v>43248</v>
      </c>
      <c r="B5122">
        <v>2.4620000000000002E-4</v>
      </c>
    </row>
    <row r="5123" spans="1:2" x14ac:dyDescent="0.25">
      <c r="A5123" s="6">
        <v>43249</v>
      </c>
      <c r="B5123">
        <v>2.4620000000000002E-4</v>
      </c>
    </row>
    <row r="5124" spans="1:2" x14ac:dyDescent="0.25">
      <c r="A5124" s="6">
        <v>43250</v>
      </c>
      <c r="B5124">
        <v>2.4620000000000002E-4</v>
      </c>
    </row>
    <row r="5125" spans="1:2" x14ac:dyDescent="0.25">
      <c r="A5125" s="6">
        <v>43252</v>
      </c>
      <c r="B5125">
        <v>2.4620000000000002E-4</v>
      </c>
    </row>
    <row r="5126" spans="1:2" x14ac:dyDescent="0.25">
      <c r="A5126" s="6">
        <v>43255</v>
      </c>
      <c r="B5126">
        <v>2.4620000000000002E-4</v>
      </c>
    </row>
    <row r="5127" spans="1:2" x14ac:dyDescent="0.25">
      <c r="A5127" s="6">
        <v>43256</v>
      </c>
      <c r="B5127">
        <v>2.4620000000000002E-4</v>
      </c>
    </row>
    <row r="5128" spans="1:2" x14ac:dyDescent="0.25">
      <c r="A5128" s="6">
        <v>43257</v>
      </c>
      <c r="B5128">
        <v>2.4620000000000002E-4</v>
      </c>
    </row>
    <row r="5129" spans="1:2" x14ac:dyDescent="0.25">
      <c r="A5129" s="6">
        <v>43258</v>
      </c>
      <c r="B5129">
        <v>2.4620000000000002E-4</v>
      </c>
    </row>
    <row r="5130" spans="1:2" x14ac:dyDescent="0.25">
      <c r="A5130" s="6">
        <v>43259</v>
      </c>
      <c r="B5130">
        <v>2.4620000000000002E-4</v>
      </c>
    </row>
    <row r="5131" spans="1:2" x14ac:dyDescent="0.25">
      <c r="A5131" s="6">
        <v>43262</v>
      </c>
      <c r="B5131">
        <v>2.4620000000000002E-4</v>
      </c>
    </row>
    <row r="5132" spans="1:2" x14ac:dyDescent="0.25">
      <c r="A5132" s="6">
        <v>43263</v>
      </c>
      <c r="B5132">
        <v>2.4620000000000002E-4</v>
      </c>
    </row>
    <row r="5133" spans="1:2" x14ac:dyDescent="0.25">
      <c r="A5133" s="6">
        <v>43264</v>
      </c>
      <c r="B5133">
        <v>2.4620000000000002E-4</v>
      </c>
    </row>
    <row r="5134" spans="1:2" x14ac:dyDescent="0.25">
      <c r="A5134" s="6">
        <v>43265</v>
      </c>
      <c r="B5134">
        <v>2.4620000000000002E-4</v>
      </c>
    </row>
    <row r="5135" spans="1:2" x14ac:dyDescent="0.25">
      <c r="A5135" s="6">
        <v>43266</v>
      </c>
      <c r="B5135">
        <v>2.4620000000000002E-4</v>
      </c>
    </row>
    <row r="5136" spans="1:2" x14ac:dyDescent="0.25">
      <c r="A5136" s="6">
        <v>43269</v>
      </c>
      <c r="B5136">
        <v>2.4620000000000002E-4</v>
      </c>
    </row>
    <row r="5137" spans="1:2" x14ac:dyDescent="0.25">
      <c r="A5137" s="6">
        <v>43270</v>
      </c>
      <c r="B5137">
        <v>2.4620000000000002E-4</v>
      </c>
    </row>
    <row r="5138" spans="1:2" x14ac:dyDescent="0.25">
      <c r="A5138" s="6">
        <v>43271</v>
      </c>
      <c r="B5138">
        <v>2.4620000000000002E-4</v>
      </c>
    </row>
    <row r="5139" spans="1:2" x14ac:dyDescent="0.25">
      <c r="A5139" s="6">
        <v>43272</v>
      </c>
      <c r="B5139">
        <v>2.4620000000000002E-4</v>
      </c>
    </row>
    <row r="5140" spans="1:2" x14ac:dyDescent="0.25">
      <c r="A5140" s="6">
        <v>43273</v>
      </c>
      <c r="B5140">
        <v>2.4620000000000002E-4</v>
      </c>
    </row>
    <row r="5141" spans="1:2" x14ac:dyDescent="0.25">
      <c r="A5141" s="6">
        <v>43276</v>
      </c>
      <c r="B5141">
        <v>2.4620000000000002E-4</v>
      </c>
    </row>
    <row r="5142" spans="1:2" x14ac:dyDescent="0.25">
      <c r="A5142" s="6">
        <v>43277</v>
      </c>
      <c r="B5142">
        <v>2.4620000000000002E-4</v>
      </c>
    </row>
    <row r="5143" spans="1:2" x14ac:dyDescent="0.25">
      <c r="A5143" s="6">
        <v>43278</v>
      </c>
      <c r="B5143">
        <v>2.4620000000000002E-4</v>
      </c>
    </row>
    <row r="5144" spans="1:2" x14ac:dyDescent="0.25">
      <c r="A5144" s="6">
        <v>43279</v>
      </c>
      <c r="B5144">
        <v>2.4620000000000002E-4</v>
      </c>
    </row>
    <row r="5145" spans="1:2" x14ac:dyDescent="0.25">
      <c r="A5145" s="6">
        <v>43280</v>
      </c>
      <c r="B5145">
        <v>2.4620000000000002E-4</v>
      </c>
    </row>
    <row r="5146" spans="1:2" x14ac:dyDescent="0.25">
      <c r="A5146" s="6">
        <v>43283</v>
      </c>
      <c r="B5146">
        <v>2.4620000000000002E-4</v>
      </c>
    </row>
    <row r="5147" spans="1:2" x14ac:dyDescent="0.25">
      <c r="A5147" s="6">
        <v>43284</v>
      </c>
      <c r="B5147">
        <v>2.4620000000000002E-4</v>
      </c>
    </row>
    <row r="5148" spans="1:2" x14ac:dyDescent="0.25">
      <c r="A5148" s="6">
        <v>43285</v>
      </c>
      <c r="B5148">
        <v>2.4620000000000002E-4</v>
      </c>
    </row>
    <row r="5149" spans="1:2" x14ac:dyDescent="0.25">
      <c r="A5149" s="6">
        <v>43286</v>
      </c>
      <c r="B5149">
        <v>2.4620000000000002E-4</v>
      </c>
    </row>
    <row r="5150" spans="1:2" x14ac:dyDescent="0.25">
      <c r="A5150" s="6">
        <v>43287</v>
      </c>
      <c r="B5150">
        <v>2.4620000000000002E-4</v>
      </c>
    </row>
    <row r="5151" spans="1:2" x14ac:dyDescent="0.25">
      <c r="A5151" s="6">
        <v>43290</v>
      </c>
      <c r="B5151">
        <v>2.4620000000000002E-4</v>
      </c>
    </row>
    <row r="5152" spans="1:2" x14ac:dyDescent="0.25">
      <c r="A5152" s="6">
        <v>43291</v>
      </c>
      <c r="B5152">
        <v>2.4620000000000002E-4</v>
      </c>
    </row>
    <row r="5153" spans="1:2" x14ac:dyDescent="0.25">
      <c r="A5153" s="6">
        <v>43292</v>
      </c>
      <c r="B5153">
        <v>2.4620000000000002E-4</v>
      </c>
    </row>
    <row r="5154" spans="1:2" x14ac:dyDescent="0.25">
      <c r="A5154" s="6">
        <v>43293</v>
      </c>
      <c r="B5154">
        <v>2.4620000000000002E-4</v>
      </c>
    </row>
    <row r="5155" spans="1:2" x14ac:dyDescent="0.25">
      <c r="A5155" s="6">
        <v>43294</v>
      </c>
      <c r="B5155">
        <v>2.4620000000000002E-4</v>
      </c>
    </row>
    <row r="5156" spans="1:2" x14ac:dyDescent="0.25">
      <c r="A5156" s="6">
        <v>43297</v>
      </c>
      <c r="B5156">
        <v>2.4620000000000002E-4</v>
      </c>
    </row>
    <row r="5157" spans="1:2" x14ac:dyDescent="0.25">
      <c r="A5157" s="6">
        <v>43298</v>
      </c>
      <c r="B5157">
        <v>2.4620000000000002E-4</v>
      </c>
    </row>
    <row r="5158" spans="1:2" x14ac:dyDescent="0.25">
      <c r="A5158" s="6">
        <v>43299</v>
      </c>
      <c r="B5158">
        <v>2.4620000000000002E-4</v>
      </c>
    </row>
    <row r="5159" spans="1:2" x14ac:dyDescent="0.25">
      <c r="A5159" s="6">
        <v>43300</v>
      </c>
      <c r="B5159">
        <v>2.4620000000000002E-4</v>
      </c>
    </row>
    <row r="5160" spans="1:2" x14ac:dyDescent="0.25">
      <c r="A5160" s="6">
        <v>43301</v>
      </c>
      <c r="B5160">
        <v>2.4620000000000002E-4</v>
      </c>
    </row>
    <row r="5161" spans="1:2" x14ac:dyDescent="0.25">
      <c r="A5161" s="6">
        <v>43304</v>
      </c>
      <c r="B5161">
        <v>2.4620000000000002E-4</v>
      </c>
    </row>
    <row r="5162" spans="1:2" x14ac:dyDescent="0.25">
      <c r="A5162" s="6">
        <v>43305</v>
      </c>
      <c r="B5162">
        <v>2.4620000000000002E-4</v>
      </c>
    </row>
    <row r="5163" spans="1:2" x14ac:dyDescent="0.25">
      <c r="A5163" s="6">
        <v>43306</v>
      </c>
      <c r="B5163">
        <v>2.4620000000000002E-4</v>
      </c>
    </row>
    <row r="5164" spans="1:2" x14ac:dyDescent="0.25">
      <c r="A5164" s="6">
        <v>43307</v>
      </c>
      <c r="B5164">
        <v>2.4620000000000002E-4</v>
      </c>
    </row>
    <row r="5165" spans="1:2" x14ac:dyDescent="0.25">
      <c r="A5165" s="6">
        <v>43308</v>
      </c>
      <c r="B5165">
        <v>2.4620000000000002E-4</v>
      </c>
    </row>
    <row r="5166" spans="1:2" x14ac:dyDescent="0.25">
      <c r="A5166" s="6">
        <v>43311</v>
      </c>
      <c r="B5166">
        <v>2.4620000000000002E-4</v>
      </c>
    </row>
    <row r="5167" spans="1:2" x14ac:dyDescent="0.25">
      <c r="A5167" s="6">
        <v>43312</v>
      </c>
      <c r="B5167">
        <v>2.4620000000000002E-4</v>
      </c>
    </row>
    <row r="5168" spans="1:2" x14ac:dyDescent="0.25">
      <c r="A5168" s="6">
        <v>43313</v>
      </c>
      <c r="B5168">
        <v>2.4620000000000002E-4</v>
      </c>
    </row>
    <row r="5169" spans="1:2" x14ac:dyDescent="0.25">
      <c r="A5169" s="6">
        <v>43314</v>
      </c>
      <c r="B5169">
        <v>2.4620000000000002E-4</v>
      </c>
    </row>
    <row r="5170" spans="1:2" x14ac:dyDescent="0.25">
      <c r="A5170" s="6">
        <v>43315</v>
      </c>
      <c r="B5170">
        <v>2.4620000000000002E-4</v>
      </c>
    </row>
    <row r="5171" spans="1:2" x14ac:dyDescent="0.25">
      <c r="A5171" s="6">
        <v>43318</v>
      </c>
      <c r="B5171">
        <v>2.4620000000000002E-4</v>
      </c>
    </row>
    <row r="5172" spans="1:2" x14ac:dyDescent="0.25">
      <c r="A5172" s="6">
        <v>43319</v>
      </c>
      <c r="B5172">
        <v>2.4620000000000002E-4</v>
      </c>
    </row>
    <row r="5173" spans="1:2" x14ac:dyDescent="0.25">
      <c r="A5173" s="6">
        <v>43320</v>
      </c>
      <c r="B5173">
        <v>2.4620000000000002E-4</v>
      </c>
    </row>
    <row r="5174" spans="1:2" x14ac:dyDescent="0.25">
      <c r="A5174" s="6">
        <v>43321</v>
      </c>
      <c r="B5174">
        <v>2.4620000000000002E-4</v>
      </c>
    </row>
    <row r="5175" spans="1:2" x14ac:dyDescent="0.25">
      <c r="A5175" s="6">
        <v>43322</v>
      </c>
      <c r="B5175">
        <v>2.4620000000000002E-4</v>
      </c>
    </row>
    <row r="5176" spans="1:2" x14ac:dyDescent="0.25">
      <c r="A5176" s="6">
        <v>43325</v>
      </c>
      <c r="B5176">
        <v>2.4620000000000002E-4</v>
      </c>
    </row>
    <row r="5177" spans="1:2" x14ac:dyDescent="0.25">
      <c r="A5177" s="6">
        <v>43326</v>
      </c>
      <c r="B5177">
        <v>2.4620000000000002E-4</v>
      </c>
    </row>
    <row r="5178" spans="1:2" x14ac:dyDescent="0.25">
      <c r="A5178" s="6">
        <v>43327</v>
      </c>
      <c r="B5178">
        <v>2.4620000000000002E-4</v>
      </c>
    </row>
    <row r="5179" spans="1:2" x14ac:dyDescent="0.25">
      <c r="A5179" s="6">
        <v>43328</v>
      </c>
      <c r="B5179">
        <v>2.4620000000000002E-4</v>
      </c>
    </row>
    <row r="5180" spans="1:2" x14ac:dyDescent="0.25">
      <c r="A5180" s="6">
        <v>43329</v>
      </c>
      <c r="B5180">
        <v>2.4620000000000002E-4</v>
      </c>
    </row>
    <row r="5181" spans="1:2" x14ac:dyDescent="0.25">
      <c r="A5181" s="6">
        <v>43332</v>
      </c>
      <c r="B5181">
        <v>2.4620000000000002E-4</v>
      </c>
    </row>
    <row r="5182" spans="1:2" x14ac:dyDescent="0.25">
      <c r="A5182" s="6">
        <v>43333</v>
      </c>
      <c r="B5182">
        <v>2.4620000000000002E-4</v>
      </c>
    </row>
    <row r="5183" spans="1:2" x14ac:dyDescent="0.25">
      <c r="A5183" s="6">
        <v>43334</v>
      </c>
      <c r="B5183">
        <v>2.4620000000000002E-4</v>
      </c>
    </row>
    <row r="5184" spans="1:2" x14ac:dyDescent="0.25">
      <c r="A5184" s="6">
        <v>43335</v>
      </c>
      <c r="B5184">
        <v>2.4620000000000002E-4</v>
      </c>
    </row>
    <row r="5185" spans="1:2" x14ac:dyDescent="0.25">
      <c r="A5185" s="6">
        <v>43336</v>
      </c>
      <c r="B5185">
        <v>2.4620000000000002E-4</v>
      </c>
    </row>
    <row r="5186" spans="1:2" x14ac:dyDescent="0.25">
      <c r="A5186" s="6">
        <v>43339</v>
      </c>
      <c r="B5186">
        <v>2.4620000000000002E-4</v>
      </c>
    </row>
    <row r="5187" spans="1:2" x14ac:dyDescent="0.25">
      <c r="A5187" s="6">
        <v>43340</v>
      </c>
      <c r="B5187">
        <v>2.4620000000000002E-4</v>
      </c>
    </row>
    <row r="5188" spans="1:2" x14ac:dyDescent="0.25">
      <c r="A5188" s="6">
        <v>43341</v>
      </c>
      <c r="B5188">
        <v>2.4620000000000002E-4</v>
      </c>
    </row>
    <row r="5189" spans="1:2" x14ac:dyDescent="0.25">
      <c r="A5189" s="6">
        <v>43342</v>
      </c>
      <c r="B5189">
        <v>2.4620000000000002E-4</v>
      </c>
    </row>
    <row r="5190" spans="1:2" x14ac:dyDescent="0.25">
      <c r="A5190" s="6">
        <v>43343</v>
      </c>
      <c r="B5190">
        <v>2.4620000000000002E-4</v>
      </c>
    </row>
    <row r="5191" spans="1:2" x14ac:dyDescent="0.25">
      <c r="A5191" s="6">
        <v>43346</v>
      </c>
      <c r="B5191">
        <v>2.4620000000000002E-4</v>
      </c>
    </row>
    <row r="5192" spans="1:2" x14ac:dyDescent="0.25">
      <c r="A5192" s="6">
        <v>43347</v>
      </c>
      <c r="B5192">
        <v>2.4620000000000002E-4</v>
      </c>
    </row>
    <row r="5193" spans="1:2" x14ac:dyDescent="0.25">
      <c r="A5193" s="6">
        <v>43348</v>
      </c>
      <c r="B5193">
        <v>2.4620000000000002E-4</v>
      </c>
    </row>
    <row r="5194" spans="1:2" x14ac:dyDescent="0.25">
      <c r="A5194" s="6">
        <v>43349</v>
      </c>
      <c r="B5194">
        <v>2.4620000000000002E-4</v>
      </c>
    </row>
    <row r="5195" spans="1:2" x14ac:dyDescent="0.25">
      <c r="A5195" s="6">
        <v>43353</v>
      </c>
      <c r="B5195">
        <v>2.4620000000000002E-4</v>
      </c>
    </row>
    <row r="5196" spans="1:2" x14ac:dyDescent="0.25">
      <c r="A5196" s="6">
        <v>43354</v>
      </c>
      <c r="B5196">
        <v>2.4620000000000002E-4</v>
      </c>
    </row>
    <row r="5197" spans="1:2" x14ac:dyDescent="0.25">
      <c r="A5197" s="6">
        <v>43355</v>
      </c>
      <c r="B5197">
        <v>2.4620000000000002E-4</v>
      </c>
    </row>
    <row r="5198" spans="1:2" x14ac:dyDescent="0.25">
      <c r="A5198" s="6">
        <v>43356</v>
      </c>
      <c r="B5198">
        <v>2.4620000000000002E-4</v>
      </c>
    </row>
    <row r="5199" spans="1:2" x14ac:dyDescent="0.25">
      <c r="A5199" s="6">
        <v>43357</v>
      </c>
      <c r="B5199">
        <v>2.4620000000000002E-4</v>
      </c>
    </row>
    <row r="5200" spans="1:2" x14ac:dyDescent="0.25">
      <c r="A5200" s="6">
        <v>43360</v>
      </c>
      <c r="B5200">
        <v>2.4620000000000002E-4</v>
      </c>
    </row>
    <row r="5201" spans="1:2" x14ac:dyDescent="0.25">
      <c r="A5201" s="6">
        <v>43361</v>
      </c>
      <c r="B5201">
        <v>2.4620000000000002E-4</v>
      </c>
    </row>
    <row r="5202" spans="1:2" x14ac:dyDescent="0.25">
      <c r="A5202" s="6">
        <v>43362</v>
      </c>
      <c r="B5202">
        <v>2.4620000000000002E-4</v>
      </c>
    </row>
    <row r="5203" spans="1:2" x14ac:dyDescent="0.25">
      <c r="A5203" s="6">
        <v>43363</v>
      </c>
      <c r="B5203">
        <v>2.4620000000000002E-4</v>
      </c>
    </row>
    <row r="5204" spans="1:2" x14ac:dyDescent="0.25">
      <c r="A5204" s="6">
        <v>43364</v>
      </c>
      <c r="B5204">
        <v>2.4620000000000002E-4</v>
      </c>
    </row>
    <row r="5205" spans="1:2" x14ac:dyDescent="0.25">
      <c r="A5205" s="6">
        <v>43367</v>
      </c>
      <c r="B5205">
        <v>2.4620000000000002E-4</v>
      </c>
    </row>
    <row r="5206" spans="1:2" x14ac:dyDescent="0.25">
      <c r="A5206" s="6">
        <v>43368</v>
      </c>
      <c r="B5206">
        <v>2.4620000000000002E-4</v>
      </c>
    </row>
    <row r="5207" spans="1:2" x14ac:dyDescent="0.25">
      <c r="A5207" s="6">
        <v>43369</v>
      </c>
      <c r="B5207">
        <v>2.4620000000000002E-4</v>
      </c>
    </row>
    <row r="5208" spans="1:2" x14ac:dyDescent="0.25">
      <c r="A5208" s="6">
        <v>43370</v>
      </c>
      <c r="B5208">
        <v>2.4620000000000002E-4</v>
      </c>
    </row>
    <row r="5209" spans="1:2" x14ac:dyDescent="0.25">
      <c r="A5209" s="6">
        <v>43371</v>
      </c>
      <c r="B5209">
        <v>2.4620000000000002E-4</v>
      </c>
    </row>
    <row r="5210" spans="1:2" x14ac:dyDescent="0.25">
      <c r="A5210" s="6">
        <v>43374</v>
      </c>
      <c r="B5210">
        <v>2.4620000000000002E-4</v>
      </c>
    </row>
    <row r="5211" spans="1:2" x14ac:dyDescent="0.25">
      <c r="A5211" s="6">
        <v>43375</v>
      </c>
      <c r="B5211">
        <v>2.4620000000000002E-4</v>
      </c>
    </row>
    <row r="5212" spans="1:2" x14ac:dyDescent="0.25">
      <c r="A5212" s="6">
        <v>43376</v>
      </c>
      <c r="B5212">
        <v>2.4620000000000002E-4</v>
      </c>
    </row>
    <row r="5213" spans="1:2" x14ac:dyDescent="0.25">
      <c r="A5213" s="6">
        <v>43377</v>
      </c>
      <c r="B5213">
        <v>2.4620000000000002E-4</v>
      </c>
    </row>
    <row r="5214" spans="1:2" x14ac:dyDescent="0.25">
      <c r="A5214" s="6">
        <v>43378</v>
      </c>
      <c r="B5214">
        <v>2.4620000000000002E-4</v>
      </c>
    </row>
    <row r="5215" spans="1:2" x14ac:dyDescent="0.25">
      <c r="A5215" s="6">
        <v>43381</v>
      </c>
      <c r="B5215">
        <v>2.4620000000000002E-4</v>
      </c>
    </row>
    <row r="5216" spans="1:2" x14ac:dyDescent="0.25">
      <c r="A5216" s="6">
        <v>43382</v>
      </c>
      <c r="B5216">
        <v>2.4620000000000002E-4</v>
      </c>
    </row>
    <row r="5217" spans="1:2" x14ac:dyDescent="0.25">
      <c r="A5217" s="6">
        <v>43383</v>
      </c>
      <c r="B5217">
        <v>2.4620000000000002E-4</v>
      </c>
    </row>
    <row r="5218" spans="1:2" x14ac:dyDescent="0.25">
      <c r="A5218" s="6">
        <v>43384</v>
      </c>
      <c r="B5218">
        <v>2.4620000000000002E-4</v>
      </c>
    </row>
    <row r="5219" spans="1:2" x14ac:dyDescent="0.25">
      <c r="A5219" s="6">
        <v>43388</v>
      </c>
      <c r="B5219">
        <v>2.4620000000000002E-4</v>
      </c>
    </row>
    <row r="5220" spans="1:2" x14ac:dyDescent="0.25">
      <c r="A5220" s="6">
        <v>43389</v>
      </c>
      <c r="B5220">
        <v>2.4620000000000002E-4</v>
      </c>
    </row>
    <row r="5221" spans="1:2" x14ac:dyDescent="0.25">
      <c r="A5221" s="6">
        <v>43390</v>
      </c>
      <c r="B5221">
        <v>2.4620000000000002E-4</v>
      </c>
    </row>
    <row r="5222" spans="1:2" x14ac:dyDescent="0.25">
      <c r="A5222" s="6">
        <v>43391</v>
      </c>
      <c r="B5222">
        <v>2.4620000000000002E-4</v>
      </c>
    </row>
    <row r="5223" spans="1:2" x14ac:dyDescent="0.25">
      <c r="A5223" s="6">
        <v>43392</v>
      </c>
      <c r="B5223">
        <v>2.4620000000000002E-4</v>
      </c>
    </row>
    <row r="5224" spans="1:2" x14ac:dyDescent="0.25">
      <c r="A5224" s="6">
        <v>43395</v>
      </c>
      <c r="B5224">
        <v>2.4620000000000002E-4</v>
      </c>
    </row>
    <row r="5225" spans="1:2" x14ac:dyDescent="0.25">
      <c r="A5225" s="6">
        <v>43396</v>
      </c>
      <c r="B5225">
        <v>2.4620000000000002E-4</v>
      </c>
    </row>
    <row r="5226" spans="1:2" x14ac:dyDescent="0.25">
      <c r="A5226" s="6">
        <v>43397</v>
      </c>
      <c r="B5226">
        <v>2.4620000000000002E-4</v>
      </c>
    </row>
    <row r="5227" spans="1:2" x14ac:dyDescent="0.25">
      <c r="A5227" s="6">
        <v>43398</v>
      </c>
      <c r="B5227">
        <v>2.4620000000000002E-4</v>
      </c>
    </row>
    <row r="5228" spans="1:2" x14ac:dyDescent="0.25">
      <c r="A5228" s="6">
        <v>43399</v>
      </c>
      <c r="B5228">
        <v>2.4620000000000002E-4</v>
      </c>
    </row>
    <row r="5229" spans="1:2" x14ac:dyDescent="0.25">
      <c r="A5229" s="6">
        <v>43402</v>
      </c>
      <c r="B5229">
        <v>2.4620000000000002E-4</v>
      </c>
    </row>
    <row r="5230" spans="1:2" x14ac:dyDescent="0.25">
      <c r="A5230" s="6">
        <v>43403</v>
      </c>
      <c r="B5230">
        <v>2.4620000000000002E-4</v>
      </c>
    </row>
    <row r="5231" spans="1:2" x14ac:dyDescent="0.25">
      <c r="A5231" s="6">
        <v>43404</v>
      </c>
      <c r="B5231">
        <v>2.4620000000000002E-4</v>
      </c>
    </row>
    <row r="5232" spans="1:2" x14ac:dyDescent="0.25">
      <c r="A5232" s="6">
        <v>43405</v>
      </c>
      <c r="B5232">
        <v>2.4620000000000002E-4</v>
      </c>
    </row>
    <row r="5233" spans="1:2" x14ac:dyDescent="0.25">
      <c r="A5233" s="6">
        <v>43409</v>
      </c>
      <c r="B5233">
        <v>2.4620000000000002E-4</v>
      </c>
    </row>
    <row r="5234" spans="1:2" x14ac:dyDescent="0.25">
      <c r="A5234" s="6">
        <v>43410</v>
      </c>
      <c r="B5234">
        <v>2.4620000000000002E-4</v>
      </c>
    </row>
    <row r="5235" spans="1:2" x14ac:dyDescent="0.25">
      <c r="A5235" s="6">
        <v>43411</v>
      </c>
      <c r="B5235">
        <v>2.4620000000000002E-4</v>
      </c>
    </row>
    <row r="5236" spans="1:2" x14ac:dyDescent="0.25">
      <c r="A5236" s="6">
        <v>43412</v>
      </c>
      <c r="B5236">
        <v>2.4620000000000002E-4</v>
      </c>
    </row>
    <row r="5237" spans="1:2" x14ac:dyDescent="0.25">
      <c r="A5237" s="6">
        <v>43413</v>
      </c>
      <c r="B5237">
        <v>2.4620000000000002E-4</v>
      </c>
    </row>
    <row r="5238" spans="1:2" x14ac:dyDescent="0.25">
      <c r="A5238" s="6">
        <v>43416</v>
      </c>
      <c r="B5238">
        <v>2.4620000000000002E-4</v>
      </c>
    </row>
    <row r="5239" spans="1:2" x14ac:dyDescent="0.25">
      <c r="A5239" s="6">
        <v>43417</v>
      </c>
      <c r="B5239">
        <v>2.4620000000000002E-4</v>
      </c>
    </row>
    <row r="5240" spans="1:2" x14ac:dyDescent="0.25">
      <c r="A5240" s="6">
        <v>43418</v>
      </c>
      <c r="B5240">
        <v>2.4620000000000002E-4</v>
      </c>
    </row>
    <row r="5241" spans="1:2" x14ac:dyDescent="0.25">
      <c r="A5241" s="6">
        <v>43420</v>
      </c>
      <c r="B5241">
        <v>2.4620000000000002E-4</v>
      </c>
    </row>
    <row r="5242" spans="1:2" x14ac:dyDescent="0.25">
      <c r="A5242" s="6">
        <v>43423</v>
      </c>
      <c r="B5242">
        <v>2.4620000000000002E-4</v>
      </c>
    </row>
    <row r="5243" spans="1:2" x14ac:dyDescent="0.25">
      <c r="A5243" s="6">
        <v>43424</v>
      </c>
      <c r="B5243">
        <v>2.4620000000000002E-4</v>
      </c>
    </row>
    <row r="5244" spans="1:2" x14ac:dyDescent="0.25">
      <c r="A5244" s="6">
        <v>43425</v>
      </c>
      <c r="B5244">
        <v>2.4620000000000002E-4</v>
      </c>
    </row>
    <row r="5245" spans="1:2" x14ac:dyDescent="0.25">
      <c r="A5245" s="6">
        <v>43426</v>
      </c>
      <c r="B5245">
        <v>2.4620000000000002E-4</v>
      </c>
    </row>
    <row r="5246" spans="1:2" x14ac:dyDescent="0.25">
      <c r="A5246" s="6">
        <v>43427</v>
      </c>
      <c r="B5246">
        <v>2.4620000000000002E-4</v>
      </c>
    </row>
    <row r="5247" spans="1:2" x14ac:dyDescent="0.25">
      <c r="A5247" s="6">
        <v>43430</v>
      </c>
      <c r="B5247">
        <v>2.4620000000000002E-4</v>
      </c>
    </row>
    <row r="5248" spans="1:2" x14ac:dyDescent="0.25">
      <c r="A5248" s="6">
        <v>43431</v>
      </c>
      <c r="B5248">
        <v>2.4620000000000002E-4</v>
      </c>
    </row>
    <row r="5249" spans="1:2" x14ac:dyDescent="0.25">
      <c r="A5249" s="6">
        <v>43432</v>
      </c>
      <c r="B5249">
        <v>2.4620000000000002E-4</v>
      </c>
    </row>
    <row r="5250" spans="1:2" x14ac:dyDescent="0.25">
      <c r="A5250" s="6">
        <v>43433</v>
      </c>
      <c r="B5250">
        <v>2.4620000000000002E-4</v>
      </c>
    </row>
    <row r="5251" spans="1:2" x14ac:dyDescent="0.25">
      <c r="A5251" s="6">
        <v>43434</v>
      </c>
      <c r="B5251">
        <v>2.4620000000000002E-4</v>
      </c>
    </row>
    <row r="5252" spans="1:2" x14ac:dyDescent="0.25">
      <c r="A5252" s="6">
        <v>43437</v>
      </c>
      <c r="B5252">
        <v>2.4620000000000002E-4</v>
      </c>
    </row>
    <row r="5253" spans="1:2" x14ac:dyDescent="0.25">
      <c r="A5253" s="6">
        <v>43438</v>
      </c>
      <c r="B5253">
        <v>2.4620000000000002E-4</v>
      </c>
    </row>
    <row r="5254" spans="1:2" x14ac:dyDescent="0.25">
      <c r="A5254" s="6">
        <v>43439</v>
      </c>
      <c r="B5254">
        <v>2.4620000000000002E-4</v>
      </c>
    </row>
    <row r="5255" spans="1:2" x14ac:dyDescent="0.25">
      <c r="A5255" s="6">
        <v>43440</v>
      </c>
      <c r="B5255">
        <v>2.4620000000000002E-4</v>
      </c>
    </row>
    <row r="5256" spans="1:2" x14ac:dyDescent="0.25">
      <c r="A5256" s="6">
        <v>43441</v>
      </c>
      <c r="B5256">
        <v>2.4620000000000002E-4</v>
      </c>
    </row>
    <row r="5257" spans="1:2" x14ac:dyDescent="0.25">
      <c r="A5257" s="6">
        <v>43444</v>
      </c>
      <c r="B5257">
        <v>2.4620000000000002E-4</v>
      </c>
    </row>
    <row r="5258" spans="1:2" x14ac:dyDescent="0.25">
      <c r="A5258" s="6">
        <v>43445</v>
      </c>
      <c r="B5258">
        <v>2.4620000000000002E-4</v>
      </c>
    </row>
    <row r="5259" spans="1:2" x14ac:dyDescent="0.25">
      <c r="A5259" s="6">
        <v>43446</v>
      </c>
      <c r="B5259">
        <v>2.4620000000000002E-4</v>
      </c>
    </row>
    <row r="5260" spans="1:2" x14ac:dyDescent="0.25">
      <c r="A5260" s="6">
        <v>43447</v>
      </c>
      <c r="B5260">
        <v>2.4620000000000002E-4</v>
      </c>
    </row>
    <row r="5261" spans="1:2" x14ac:dyDescent="0.25">
      <c r="A5261" s="6">
        <v>43448</v>
      </c>
      <c r="B5261">
        <v>2.4620000000000002E-4</v>
      </c>
    </row>
    <row r="5262" spans="1:2" x14ac:dyDescent="0.25">
      <c r="A5262" s="6">
        <v>43451</v>
      </c>
      <c r="B5262">
        <v>2.4620000000000002E-4</v>
      </c>
    </row>
    <row r="5263" spans="1:2" x14ac:dyDescent="0.25">
      <c r="A5263" s="6">
        <v>43452</v>
      </c>
      <c r="B5263">
        <v>2.4620000000000002E-4</v>
      </c>
    </row>
    <row r="5264" spans="1:2" x14ac:dyDescent="0.25">
      <c r="A5264" s="6">
        <v>43453</v>
      </c>
      <c r="B5264">
        <v>2.4620000000000002E-4</v>
      </c>
    </row>
    <row r="5265" spans="1:2" x14ac:dyDescent="0.25">
      <c r="A5265" s="6">
        <v>43454</v>
      </c>
      <c r="B5265">
        <v>2.4620000000000002E-4</v>
      </c>
    </row>
    <row r="5266" spans="1:2" x14ac:dyDescent="0.25">
      <c r="A5266" s="6">
        <v>43455</v>
      </c>
      <c r="B5266">
        <v>2.4620000000000002E-4</v>
      </c>
    </row>
    <row r="5267" spans="1:2" x14ac:dyDescent="0.25">
      <c r="A5267" s="6">
        <v>43458</v>
      </c>
      <c r="B5267">
        <v>2.4620000000000002E-4</v>
      </c>
    </row>
    <row r="5268" spans="1:2" x14ac:dyDescent="0.25">
      <c r="A5268" s="6">
        <v>43460</v>
      </c>
      <c r="B5268">
        <v>2.4620000000000002E-4</v>
      </c>
    </row>
    <row r="5269" spans="1:2" x14ac:dyDescent="0.25">
      <c r="A5269" s="6">
        <v>43461</v>
      </c>
      <c r="B5269">
        <v>2.4620000000000002E-4</v>
      </c>
    </row>
    <row r="5270" spans="1:2" x14ac:dyDescent="0.25">
      <c r="A5270" s="6">
        <v>43462</v>
      </c>
      <c r="B5270">
        <v>2.4620000000000002E-4</v>
      </c>
    </row>
    <row r="5271" spans="1:2" x14ac:dyDescent="0.25">
      <c r="A5271" s="6">
        <v>43465</v>
      </c>
      <c r="B5271">
        <v>2.4620000000000002E-4</v>
      </c>
    </row>
    <row r="5272" spans="1:2" x14ac:dyDescent="0.25">
      <c r="A5272" s="6">
        <v>43467</v>
      </c>
      <c r="B5272">
        <v>2.4620000000000002E-4</v>
      </c>
    </row>
    <row r="5273" spans="1:2" x14ac:dyDescent="0.25">
      <c r="A5273" s="6">
        <v>43468</v>
      </c>
      <c r="B5273">
        <v>2.4620000000000002E-4</v>
      </c>
    </row>
    <row r="5274" spans="1:2" x14ac:dyDescent="0.25">
      <c r="A5274" s="6">
        <v>43469</v>
      </c>
      <c r="B5274">
        <v>2.4620000000000002E-4</v>
      </c>
    </row>
    <row r="5275" spans="1:2" x14ac:dyDescent="0.25">
      <c r="A5275" s="6">
        <v>43472</v>
      </c>
      <c r="B5275">
        <v>2.4620000000000002E-4</v>
      </c>
    </row>
    <row r="5276" spans="1:2" x14ac:dyDescent="0.25">
      <c r="A5276" s="6">
        <v>43473</v>
      </c>
      <c r="B5276">
        <v>2.4620000000000002E-4</v>
      </c>
    </row>
    <row r="5277" spans="1:2" x14ac:dyDescent="0.25">
      <c r="A5277" s="6">
        <v>43474</v>
      </c>
      <c r="B5277">
        <v>2.4620000000000002E-4</v>
      </c>
    </row>
    <row r="5278" spans="1:2" x14ac:dyDescent="0.25">
      <c r="A5278" s="6">
        <v>43475</v>
      </c>
      <c r="B5278">
        <v>2.4620000000000002E-4</v>
      </c>
    </row>
    <row r="5279" spans="1:2" x14ac:dyDescent="0.25">
      <c r="A5279" s="6">
        <v>43476</v>
      </c>
      <c r="B5279">
        <v>2.4620000000000002E-4</v>
      </c>
    </row>
    <row r="5280" spans="1:2" x14ac:dyDescent="0.25">
      <c r="A5280" s="6">
        <v>43479</v>
      </c>
      <c r="B5280">
        <v>2.4620000000000002E-4</v>
      </c>
    </row>
    <row r="5281" spans="1:2" x14ac:dyDescent="0.25">
      <c r="A5281" s="6">
        <v>43480</v>
      </c>
      <c r="B5281">
        <v>2.4620000000000002E-4</v>
      </c>
    </row>
    <row r="5282" spans="1:2" x14ac:dyDescent="0.25">
      <c r="A5282" s="6">
        <v>43481</v>
      </c>
      <c r="B5282">
        <v>2.4620000000000002E-4</v>
      </c>
    </row>
    <row r="5283" spans="1:2" x14ac:dyDescent="0.25">
      <c r="A5283" s="6">
        <v>43482</v>
      </c>
      <c r="B5283">
        <v>2.4620000000000002E-4</v>
      </c>
    </row>
    <row r="5284" spans="1:2" x14ac:dyDescent="0.25">
      <c r="A5284" s="6">
        <v>43483</v>
      </c>
      <c r="B5284">
        <v>2.4620000000000002E-4</v>
      </c>
    </row>
    <row r="5285" spans="1:2" x14ac:dyDescent="0.25">
      <c r="A5285" s="6">
        <v>43486</v>
      </c>
      <c r="B5285">
        <v>2.4620000000000002E-4</v>
      </c>
    </row>
    <row r="5286" spans="1:2" x14ac:dyDescent="0.25">
      <c r="A5286" s="6">
        <v>43487</v>
      </c>
      <c r="B5286">
        <v>2.4620000000000002E-4</v>
      </c>
    </row>
    <row r="5287" spans="1:2" x14ac:dyDescent="0.25">
      <c r="A5287" s="6">
        <v>43488</v>
      </c>
      <c r="B5287">
        <v>2.4620000000000002E-4</v>
      </c>
    </row>
    <row r="5288" spans="1:2" x14ac:dyDescent="0.25">
      <c r="A5288" s="6">
        <v>43489</v>
      </c>
      <c r="B5288">
        <v>2.4620000000000002E-4</v>
      </c>
    </row>
    <row r="5289" spans="1:2" x14ac:dyDescent="0.25">
      <c r="A5289" s="6">
        <v>43490</v>
      </c>
      <c r="B5289">
        <v>2.4620000000000002E-4</v>
      </c>
    </row>
    <row r="5290" spans="1:2" x14ac:dyDescent="0.25">
      <c r="A5290" s="6">
        <v>43493</v>
      </c>
      <c r="B5290">
        <v>2.4620000000000002E-4</v>
      </c>
    </row>
    <row r="5291" spans="1:2" x14ac:dyDescent="0.25">
      <c r="A5291" s="6">
        <v>43494</v>
      </c>
      <c r="B5291">
        <v>2.4620000000000002E-4</v>
      </c>
    </row>
    <row r="5292" spans="1:2" x14ac:dyDescent="0.25">
      <c r="A5292" s="6">
        <v>43495</v>
      </c>
      <c r="B5292">
        <v>2.4620000000000002E-4</v>
      </c>
    </row>
    <row r="5293" spans="1:2" x14ac:dyDescent="0.25">
      <c r="A5293" s="6">
        <v>43496</v>
      </c>
      <c r="B5293">
        <v>2.4620000000000002E-4</v>
      </c>
    </row>
    <row r="5294" spans="1:2" x14ac:dyDescent="0.25">
      <c r="A5294" s="6">
        <v>43497</v>
      </c>
      <c r="B5294">
        <v>2.4620000000000002E-4</v>
      </c>
    </row>
    <row r="5295" spans="1:2" x14ac:dyDescent="0.25">
      <c r="A5295" s="6">
        <v>43500</v>
      </c>
      <c r="B5295">
        <v>2.4620000000000002E-4</v>
      </c>
    </row>
    <row r="5296" spans="1:2" x14ac:dyDescent="0.25">
      <c r="A5296" s="6">
        <v>43501</v>
      </c>
      <c r="B5296">
        <v>2.4620000000000002E-4</v>
      </c>
    </row>
    <row r="5297" spans="1:2" x14ac:dyDescent="0.25">
      <c r="A5297" s="6">
        <v>43502</v>
      </c>
      <c r="B5297">
        <v>2.4620000000000002E-4</v>
      </c>
    </row>
    <row r="5298" spans="1:2" x14ac:dyDescent="0.25">
      <c r="A5298" s="6">
        <v>43503</v>
      </c>
      <c r="B5298">
        <v>2.4620000000000002E-4</v>
      </c>
    </row>
    <row r="5299" spans="1:2" x14ac:dyDescent="0.25">
      <c r="A5299" s="6">
        <v>43504</v>
      </c>
      <c r="B5299">
        <v>2.4620000000000002E-4</v>
      </c>
    </row>
    <row r="5300" spans="1:2" x14ac:dyDescent="0.25">
      <c r="A5300" s="6">
        <v>43507</v>
      </c>
      <c r="B5300">
        <v>2.4620000000000002E-4</v>
      </c>
    </row>
    <row r="5301" spans="1:2" x14ac:dyDescent="0.25">
      <c r="A5301" s="6">
        <v>43508</v>
      </c>
      <c r="B5301">
        <v>2.4620000000000002E-4</v>
      </c>
    </row>
    <row r="5302" spans="1:2" x14ac:dyDescent="0.25">
      <c r="A5302" s="6">
        <v>43509</v>
      </c>
      <c r="B5302">
        <v>2.4620000000000002E-4</v>
      </c>
    </row>
    <row r="5303" spans="1:2" x14ac:dyDescent="0.25">
      <c r="A5303" s="6">
        <v>43510</v>
      </c>
      <c r="B5303">
        <v>2.4620000000000002E-4</v>
      </c>
    </row>
    <row r="5304" spans="1:2" x14ac:dyDescent="0.25">
      <c r="A5304" s="6">
        <v>43511</v>
      </c>
      <c r="B5304">
        <v>2.4620000000000002E-4</v>
      </c>
    </row>
    <row r="5305" spans="1:2" x14ac:dyDescent="0.25">
      <c r="A5305" s="6">
        <v>43514</v>
      </c>
      <c r="B5305">
        <v>2.4620000000000002E-4</v>
      </c>
    </row>
    <row r="5306" spans="1:2" x14ac:dyDescent="0.25">
      <c r="A5306" s="6">
        <v>43515</v>
      </c>
      <c r="B5306">
        <v>2.4620000000000002E-4</v>
      </c>
    </row>
    <row r="5307" spans="1:2" x14ac:dyDescent="0.25">
      <c r="A5307" s="6">
        <v>43516</v>
      </c>
      <c r="B5307">
        <v>2.4620000000000002E-4</v>
      </c>
    </row>
    <row r="5308" spans="1:2" x14ac:dyDescent="0.25">
      <c r="A5308" s="6">
        <v>43517</v>
      </c>
      <c r="B5308">
        <v>2.4620000000000002E-4</v>
      </c>
    </row>
    <row r="5309" spans="1:2" x14ac:dyDescent="0.25">
      <c r="A5309" s="6">
        <v>43518</v>
      </c>
      <c r="B5309">
        <v>2.4620000000000002E-4</v>
      </c>
    </row>
    <row r="5310" spans="1:2" x14ac:dyDescent="0.25">
      <c r="A5310" s="6">
        <v>43521</v>
      </c>
      <c r="B5310">
        <v>2.4620000000000002E-4</v>
      </c>
    </row>
    <row r="5311" spans="1:2" x14ac:dyDescent="0.25">
      <c r="A5311" s="6">
        <v>43522</v>
      </c>
      <c r="B5311">
        <v>2.4620000000000002E-4</v>
      </c>
    </row>
    <row r="5312" spans="1:2" x14ac:dyDescent="0.25">
      <c r="A5312" s="6">
        <v>43523</v>
      </c>
      <c r="B5312">
        <v>2.4620000000000002E-4</v>
      </c>
    </row>
    <row r="5313" spans="1:2" x14ac:dyDescent="0.25">
      <c r="A5313" s="6">
        <v>43524</v>
      </c>
      <c r="B5313">
        <v>2.4620000000000002E-4</v>
      </c>
    </row>
    <row r="5314" spans="1:2" x14ac:dyDescent="0.25">
      <c r="A5314" s="6">
        <v>43525</v>
      </c>
      <c r="B5314">
        <v>2.4620000000000002E-4</v>
      </c>
    </row>
    <row r="5315" spans="1:2" x14ac:dyDescent="0.25">
      <c r="A5315" s="6">
        <v>43530</v>
      </c>
      <c r="B5315">
        <v>2.4620000000000002E-4</v>
      </c>
    </row>
    <row r="5316" spans="1:2" x14ac:dyDescent="0.25">
      <c r="A5316" s="6">
        <v>43531</v>
      </c>
      <c r="B5316">
        <v>2.4620000000000002E-4</v>
      </c>
    </row>
    <row r="5317" spans="1:2" x14ac:dyDescent="0.25">
      <c r="A5317" s="6">
        <v>43532</v>
      </c>
      <c r="B5317">
        <v>2.4620000000000002E-4</v>
      </c>
    </row>
    <row r="5318" spans="1:2" x14ac:dyDescent="0.25">
      <c r="A5318" s="6">
        <v>43535</v>
      </c>
      <c r="B5318">
        <v>2.4620000000000002E-4</v>
      </c>
    </row>
    <row r="5319" spans="1:2" x14ac:dyDescent="0.25">
      <c r="A5319" s="6">
        <v>43536</v>
      </c>
      <c r="B5319">
        <v>2.4620000000000002E-4</v>
      </c>
    </row>
    <row r="5320" spans="1:2" x14ac:dyDescent="0.25">
      <c r="A5320" s="6">
        <v>43537</v>
      </c>
      <c r="B5320">
        <v>2.4620000000000002E-4</v>
      </c>
    </row>
    <row r="5321" spans="1:2" x14ac:dyDescent="0.25">
      <c r="A5321" s="6">
        <v>43538</v>
      </c>
      <c r="B5321">
        <v>2.4620000000000002E-4</v>
      </c>
    </row>
    <row r="5322" spans="1:2" x14ac:dyDescent="0.25">
      <c r="A5322" s="6">
        <v>43539</v>
      </c>
      <c r="B5322">
        <v>2.4620000000000002E-4</v>
      </c>
    </row>
    <row r="5323" spans="1:2" x14ac:dyDescent="0.25">
      <c r="A5323" s="6">
        <v>43542</v>
      </c>
      <c r="B5323">
        <v>2.4620000000000002E-4</v>
      </c>
    </row>
    <row r="5324" spans="1:2" x14ac:dyDescent="0.25">
      <c r="A5324" s="6">
        <v>43543</v>
      </c>
      <c r="B5324">
        <v>2.4620000000000002E-4</v>
      </c>
    </row>
    <row r="5325" spans="1:2" x14ac:dyDescent="0.25">
      <c r="A5325" s="6">
        <v>43544</v>
      </c>
      <c r="B5325">
        <v>2.4620000000000002E-4</v>
      </c>
    </row>
    <row r="5326" spans="1:2" x14ac:dyDescent="0.25">
      <c r="A5326" s="6">
        <v>43545</v>
      </c>
      <c r="B5326">
        <v>2.4620000000000002E-4</v>
      </c>
    </row>
    <row r="5327" spans="1:2" x14ac:dyDescent="0.25">
      <c r="A5327" s="6">
        <v>43546</v>
      </c>
      <c r="B5327">
        <v>2.4620000000000002E-4</v>
      </c>
    </row>
    <row r="5328" spans="1:2" x14ac:dyDescent="0.25">
      <c r="A5328" s="6">
        <v>43549</v>
      </c>
      <c r="B5328">
        <v>2.4620000000000002E-4</v>
      </c>
    </row>
    <row r="5329" spans="1:2" x14ac:dyDescent="0.25">
      <c r="A5329" s="6">
        <v>43550</v>
      </c>
      <c r="B5329">
        <v>2.4620000000000002E-4</v>
      </c>
    </row>
    <row r="5330" spans="1:2" x14ac:dyDescent="0.25">
      <c r="A5330" s="6">
        <v>43551</v>
      </c>
      <c r="B5330">
        <v>2.4620000000000002E-4</v>
      </c>
    </row>
    <row r="5331" spans="1:2" x14ac:dyDescent="0.25">
      <c r="A5331" s="6">
        <v>43552</v>
      </c>
      <c r="B5331">
        <v>2.4620000000000002E-4</v>
      </c>
    </row>
    <row r="5332" spans="1:2" x14ac:dyDescent="0.25">
      <c r="A5332" s="6">
        <v>43553</v>
      </c>
      <c r="B5332">
        <v>2.4620000000000002E-4</v>
      </c>
    </row>
    <row r="5333" spans="1:2" x14ac:dyDescent="0.25">
      <c r="A5333" s="6">
        <v>43556</v>
      </c>
      <c r="B5333">
        <v>2.4620000000000002E-4</v>
      </c>
    </row>
    <row r="5334" spans="1:2" x14ac:dyDescent="0.25">
      <c r="A5334" s="6">
        <v>43557</v>
      </c>
      <c r="B5334">
        <v>2.4620000000000002E-4</v>
      </c>
    </row>
    <row r="5335" spans="1:2" x14ac:dyDescent="0.25">
      <c r="A5335" s="6">
        <v>43558</v>
      </c>
      <c r="B5335">
        <v>2.4620000000000002E-4</v>
      </c>
    </row>
    <row r="5336" spans="1:2" x14ac:dyDescent="0.25">
      <c r="A5336" s="6">
        <v>43559</v>
      </c>
      <c r="B5336">
        <v>2.4620000000000002E-4</v>
      </c>
    </row>
    <row r="5337" spans="1:2" x14ac:dyDescent="0.25">
      <c r="A5337" s="6">
        <v>43560</v>
      </c>
      <c r="B5337">
        <v>2.4620000000000002E-4</v>
      </c>
    </row>
    <row r="5338" spans="1:2" x14ac:dyDescent="0.25">
      <c r="A5338" s="6">
        <v>43563</v>
      </c>
      <c r="B5338">
        <v>2.4620000000000002E-4</v>
      </c>
    </row>
    <row r="5339" spans="1:2" x14ac:dyDescent="0.25">
      <c r="A5339" s="6">
        <v>43564</v>
      </c>
      <c r="B5339">
        <v>2.4620000000000002E-4</v>
      </c>
    </row>
    <row r="5340" spans="1:2" x14ac:dyDescent="0.25">
      <c r="A5340" s="6">
        <v>43565</v>
      </c>
      <c r="B5340">
        <v>2.4620000000000002E-4</v>
      </c>
    </row>
    <row r="5341" spans="1:2" x14ac:dyDescent="0.25">
      <c r="A5341" s="6">
        <v>43566</v>
      </c>
      <c r="B5341">
        <v>2.4620000000000002E-4</v>
      </c>
    </row>
    <row r="5342" spans="1:2" x14ac:dyDescent="0.25">
      <c r="A5342" s="6">
        <v>43567</v>
      </c>
      <c r="B5342">
        <v>2.4620000000000002E-4</v>
      </c>
    </row>
    <row r="5343" spans="1:2" x14ac:dyDescent="0.25">
      <c r="A5343" s="6">
        <v>43570</v>
      </c>
      <c r="B5343">
        <v>2.4620000000000002E-4</v>
      </c>
    </row>
    <row r="5344" spans="1:2" x14ac:dyDescent="0.25">
      <c r="A5344" s="6">
        <v>43571</v>
      </c>
      <c r="B5344">
        <v>2.4620000000000002E-4</v>
      </c>
    </row>
    <row r="5345" spans="1:2" x14ac:dyDescent="0.25">
      <c r="A5345" s="6">
        <v>43572</v>
      </c>
      <c r="B5345">
        <v>2.4620000000000002E-4</v>
      </c>
    </row>
    <row r="5346" spans="1:2" x14ac:dyDescent="0.25">
      <c r="A5346" s="6">
        <v>43573</v>
      </c>
      <c r="B5346">
        <v>2.4620000000000002E-4</v>
      </c>
    </row>
    <row r="5347" spans="1:2" x14ac:dyDescent="0.25">
      <c r="A5347" s="6">
        <v>43577</v>
      </c>
      <c r="B5347">
        <v>2.4620000000000002E-4</v>
      </c>
    </row>
    <row r="5348" spans="1:2" x14ac:dyDescent="0.25">
      <c r="A5348" s="6">
        <v>43578</v>
      </c>
      <c r="B5348">
        <v>2.4620000000000002E-4</v>
      </c>
    </row>
    <row r="5349" spans="1:2" x14ac:dyDescent="0.25">
      <c r="A5349" s="6">
        <v>43579</v>
      </c>
      <c r="B5349">
        <v>2.4620000000000002E-4</v>
      </c>
    </row>
    <row r="5350" spans="1:2" x14ac:dyDescent="0.25">
      <c r="A5350" s="6">
        <v>43580</v>
      </c>
      <c r="B5350">
        <v>2.4620000000000002E-4</v>
      </c>
    </row>
    <row r="5351" spans="1:2" x14ac:dyDescent="0.25">
      <c r="A5351" s="6">
        <v>43581</v>
      </c>
      <c r="B5351">
        <v>2.4620000000000002E-4</v>
      </c>
    </row>
    <row r="5352" spans="1:2" x14ac:dyDescent="0.25">
      <c r="A5352" s="6">
        <v>43584</v>
      </c>
      <c r="B5352">
        <v>2.4620000000000002E-4</v>
      </c>
    </row>
    <row r="5353" spans="1:2" x14ac:dyDescent="0.25">
      <c r="A5353" s="6">
        <v>43585</v>
      </c>
      <c r="B5353">
        <v>2.4620000000000002E-4</v>
      </c>
    </row>
    <row r="5354" spans="1:2" x14ac:dyDescent="0.25">
      <c r="A5354" s="6">
        <v>43587</v>
      </c>
      <c r="B5354">
        <v>2.4620000000000002E-4</v>
      </c>
    </row>
    <row r="5355" spans="1:2" x14ac:dyDescent="0.25">
      <c r="A5355" s="6">
        <v>43588</v>
      </c>
      <c r="B5355">
        <v>2.4620000000000002E-4</v>
      </c>
    </row>
    <row r="5356" spans="1:2" x14ac:dyDescent="0.25">
      <c r="A5356" s="6">
        <v>43591</v>
      </c>
      <c r="B5356">
        <v>2.4620000000000002E-4</v>
      </c>
    </row>
    <row r="5357" spans="1:2" x14ac:dyDescent="0.25">
      <c r="A5357" s="6">
        <v>43592</v>
      </c>
      <c r="B5357">
        <v>2.4620000000000002E-4</v>
      </c>
    </row>
    <row r="5358" spans="1:2" x14ac:dyDescent="0.25">
      <c r="A5358" s="6">
        <v>43593</v>
      </c>
      <c r="B5358">
        <v>2.4620000000000002E-4</v>
      </c>
    </row>
    <row r="5359" spans="1:2" x14ac:dyDescent="0.25">
      <c r="A5359" s="6">
        <v>43594</v>
      </c>
      <c r="B5359">
        <v>2.4620000000000002E-4</v>
      </c>
    </row>
    <row r="5360" spans="1:2" x14ac:dyDescent="0.25">
      <c r="A5360" s="6">
        <v>43595</v>
      </c>
      <c r="B5360">
        <v>2.4620000000000002E-4</v>
      </c>
    </row>
    <row r="5361" spans="1:2" x14ac:dyDescent="0.25">
      <c r="A5361" s="6">
        <v>43598</v>
      </c>
      <c r="B5361">
        <v>2.4620000000000002E-4</v>
      </c>
    </row>
    <row r="5362" spans="1:2" x14ac:dyDescent="0.25">
      <c r="A5362" s="6">
        <v>43599</v>
      </c>
      <c r="B5362">
        <v>2.4620000000000002E-4</v>
      </c>
    </row>
    <row r="5363" spans="1:2" x14ac:dyDescent="0.25">
      <c r="A5363" s="6">
        <v>43600</v>
      </c>
      <c r="B5363">
        <v>2.4620000000000002E-4</v>
      </c>
    </row>
    <row r="5364" spans="1:2" x14ac:dyDescent="0.25">
      <c r="A5364" s="6">
        <v>43601</v>
      </c>
      <c r="B5364">
        <v>2.4620000000000002E-4</v>
      </c>
    </row>
    <row r="5365" spans="1:2" x14ac:dyDescent="0.25">
      <c r="A5365" s="6">
        <v>43602</v>
      </c>
      <c r="B5365">
        <v>2.4620000000000002E-4</v>
      </c>
    </row>
    <row r="5366" spans="1:2" x14ac:dyDescent="0.25">
      <c r="A5366" s="6">
        <v>43605</v>
      </c>
      <c r="B5366">
        <v>2.4620000000000002E-4</v>
      </c>
    </row>
    <row r="5367" spans="1:2" x14ac:dyDescent="0.25">
      <c r="A5367" s="6">
        <v>43606</v>
      </c>
      <c r="B5367">
        <v>2.4620000000000002E-4</v>
      </c>
    </row>
    <row r="5368" spans="1:2" x14ac:dyDescent="0.25">
      <c r="A5368" s="6">
        <v>43607</v>
      </c>
      <c r="B5368">
        <v>2.4620000000000002E-4</v>
      </c>
    </row>
    <row r="5369" spans="1:2" x14ac:dyDescent="0.25">
      <c r="A5369" s="6">
        <v>43608</v>
      </c>
      <c r="B5369">
        <v>2.4620000000000002E-4</v>
      </c>
    </row>
    <row r="5370" spans="1:2" x14ac:dyDescent="0.25">
      <c r="A5370" s="6">
        <v>43609</v>
      </c>
      <c r="B5370">
        <v>2.4620000000000002E-4</v>
      </c>
    </row>
    <row r="5371" spans="1:2" x14ac:dyDescent="0.25">
      <c r="A5371" s="6">
        <v>43612</v>
      </c>
      <c r="B5371">
        <v>2.4620000000000002E-4</v>
      </c>
    </row>
    <row r="5372" spans="1:2" x14ac:dyDescent="0.25">
      <c r="A5372" s="6">
        <v>43613</v>
      </c>
      <c r="B5372">
        <v>2.4620000000000002E-4</v>
      </c>
    </row>
    <row r="5373" spans="1:2" x14ac:dyDescent="0.25">
      <c r="A5373" s="6">
        <v>43614</v>
      </c>
      <c r="B5373">
        <v>2.4620000000000002E-4</v>
      </c>
    </row>
    <row r="5374" spans="1:2" x14ac:dyDescent="0.25">
      <c r="A5374" s="6">
        <v>43615</v>
      </c>
      <c r="B5374">
        <v>2.4620000000000002E-4</v>
      </c>
    </row>
    <row r="5375" spans="1:2" x14ac:dyDescent="0.25">
      <c r="A5375" s="6">
        <v>43616</v>
      </c>
      <c r="B5375">
        <v>2.4620000000000002E-4</v>
      </c>
    </row>
    <row r="5376" spans="1:2" x14ac:dyDescent="0.25">
      <c r="A5376" s="6">
        <v>43619</v>
      </c>
      <c r="B5376">
        <v>2.4620000000000002E-4</v>
      </c>
    </row>
    <row r="5377" spans="1:2" x14ac:dyDescent="0.25">
      <c r="A5377" s="6">
        <v>43620</v>
      </c>
      <c r="B5377">
        <v>2.4620000000000002E-4</v>
      </c>
    </row>
    <row r="5378" spans="1:2" x14ac:dyDescent="0.25">
      <c r="A5378" s="6">
        <v>43621</v>
      </c>
      <c r="B5378">
        <v>2.4620000000000002E-4</v>
      </c>
    </row>
    <row r="5379" spans="1:2" x14ac:dyDescent="0.25">
      <c r="A5379" s="6">
        <v>43622</v>
      </c>
      <c r="B5379">
        <v>2.4620000000000002E-4</v>
      </c>
    </row>
    <row r="5380" spans="1:2" x14ac:dyDescent="0.25">
      <c r="A5380" s="6">
        <v>43623</v>
      </c>
      <c r="B5380">
        <v>2.4620000000000002E-4</v>
      </c>
    </row>
    <row r="5381" spans="1:2" x14ac:dyDescent="0.25">
      <c r="A5381" s="6">
        <v>43626</v>
      </c>
      <c r="B5381">
        <v>2.4620000000000002E-4</v>
      </c>
    </row>
    <row r="5382" spans="1:2" x14ac:dyDescent="0.25">
      <c r="A5382" s="6">
        <v>43627</v>
      </c>
      <c r="B5382">
        <v>2.4620000000000002E-4</v>
      </c>
    </row>
    <row r="5383" spans="1:2" x14ac:dyDescent="0.25">
      <c r="A5383" s="6">
        <v>43628</v>
      </c>
      <c r="B5383">
        <v>2.4620000000000002E-4</v>
      </c>
    </row>
    <row r="5384" spans="1:2" x14ac:dyDescent="0.25">
      <c r="A5384" s="6">
        <v>43629</v>
      </c>
      <c r="B5384">
        <v>2.4620000000000002E-4</v>
      </c>
    </row>
    <row r="5385" spans="1:2" x14ac:dyDescent="0.25">
      <c r="A5385" s="6">
        <v>43630</v>
      </c>
      <c r="B5385">
        <v>2.4620000000000002E-4</v>
      </c>
    </row>
    <row r="5386" spans="1:2" x14ac:dyDescent="0.25">
      <c r="A5386" s="6">
        <v>43633</v>
      </c>
      <c r="B5386">
        <v>2.4620000000000002E-4</v>
      </c>
    </row>
    <row r="5387" spans="1:2" x14ac:dyDescent="0.25">
      <c r="A5387" s="6">
        <v>43634</v>
      </c>
      <c r="B5387">
        <v>2.4620000000000002E-4</v>
      </c>
    </row>
    <row r="5388" spans="1:2" x14ac:dyDescent="0.25">
      <c r="A5388" s="6">
        <v>43635</v>
      </c>
      <c r="B5388">
        <v>2.4620000000000002E-4</v>
      </c>
    </row>
    <row r="5389" spans="1:2" x14ac:dyDescent="0.25">
      <c r="A5389" s="6">
        <v>43637</v>
      </c>
      <c r="B5389">
        <v>2.4620000000000002E-4</v>
      </c>
    </row>
    <row r="5390" spans="1:2" x14ac:dyDescent="0.25">
      <c r="A5390" s="6">
        <v>43640</v>
      </c>
      <c r="B5390">
        <v>2.4620000000000002E-4</v>
      </c>
    </row>
    <row r="5391" spans="1:2" x14ac:dyDescent="0.25">
      <c r="A5391" s="6">
        <v>43641</v>
      </c>
      <c r="B5391">
        <v>2.4620000000000002E-4</v>
      </c>
    </row>
    <row r="5392" spans="1:2" x14ac:dyDescent="0.25">
      <c r="A5392" s="6">
        <v>43642</v>
      </c>
      <c r="B5392">
        <v>2.4620000000000002E-4</v>
      </c>
    </row>
    <row r="5393" spans="1:2" x14ac:dyDescent="0.25">
      <c r="A5393" s="6">
        <v>43643</v>
      </c>
      <c r="B5393">
        <v>2.4620000000000002E-4</v>
      </c>
    </row>
    <row r="5394" spans="1:2" x14ac:dyDescent="0.25">
      <c r="A5394" s="6">
        <v>43644</v>
      </c>
      <c r="B5394">
        <v>2.4620000000000002E-4</v>
      </c>
    </row>
    <row r="5395" spans="1:2" x14ac:dyDescent="0.25">
      <c r="A5395" s="6">
        <v>43647</v>
      </c>
      <c r="B5395">
        <v>2.4620000000000002E-4</v>
      </c>
    </row>
    <row r="5396" spans="1:2" x14ac:dyDescent="0.25">
      <c r="A5396" s="6">
        <v>43648</v>
      </c>
      <c r="B5396">
        <v>2.4620000000000002E-4</v>
      </c>
    </row>
    <row r="5397" spans="1:2" x14ac:dyDescent="0.25">
      <c r="A5397" s="6">
        <v>43649</v>
      </c>
      <c r="B5397">
        <v>2.4620000000000002E-4</v>
      </c>
    </row>
    <row r="5398" spans="1:2" x14ac:dyDescent="0.25">
      <c r="A5398" s="6">
        <v>43650</v>
      </c>
      <c r="B5398">
        <v>2.4620000000000002E-4</v>
      </c>
    </row>
    <row r="5399" spans="1:2" x14ac:dyDescent="0.25">
      <c r="A5399" s="6">
        <v>43651</v>
      </c>
      <c r="B5399">
        <v>2.4620000000000002E-4</v>
      </c>
    </row>
    <row r="5400" spans="1:2" x14ac:dyDescent="0.25">
      <c r="A5400" s="6">
        <v>43654</v>
      </c>
      <c r="B5400">
        <v>2.4620000000000002E-4</v>
      </c>
    </row>
    <row r="5401" spans="1:2" x14ac:dyDescent="0.25">
      <c r="A5401" s="6">
        <v>43655</v>
      </c>
      <c r="B5401">
        <v>2.4620000000000002E-4</v>
      </c>
    </row>
    <row r="5402" spans="1:2" x14ac:dyDescent="0.25">
      <c r="A5402" s="6">
        <v>43656</v>
      </c>
      <c r="B5402">
        <v>2.4620000000000002E-4</v>
      </c>
    </row>
    <row r="5403" spans="1:2" x14ac:dyDescent="0.25">
      <c r="A5403" s="6">
        <v>43657</v>
      </c>
      <c r="B5403">
        <v>2.4620000000000002E-4</v>
      </c>
    </row>
    <row r="5404" spans="1:2" x14ac:dyDescent="0.25">
      <c r="A5404" s="6">
        <v>43658</v>
      </c>
      <c r="B5404">
        <v>2.4620000000000002E-4</v>
      </c>
    </row>
    <row r="5405" spans="1:2" x14ac:dyDescent="0.25">
      <c r="A5405" s="6">
        <v>43661</v>
      </c>
      <c r="B5405">
        <v>2.4620000000000002E-4</v>
      </c>
    </row>
    <row r="5406" spans="1:2" x14ac:dyDescent="0.25">
      <c r="A5406" s="6">
        <v>43662</v>
      </c>
      <c r="B5406">
        <v>2.4620000000000002E-4</v>
      </c>
    </row>
    <row r="5407" spans="1:2" x14ac:dyDescent="0.25">
      <c r="A5407" s="6">
        <v>43663</v>
      </c>
      <c r="B5407">
        <v>2.4620000000000002E-4</v>
      </c>
    </row>
    <row r="5408" spans="1:2" x14ac:dyDescent="0.25">
      <c r="A5408" s="6">
        <v>43664</v>
      </c>
      <c r="B5408">
        <v>2.4620000000000002E-4</v>
      </c>
    </row>
    <row r="5409" spans="1:2" x14ac:dyDescent="0.25">
      <c r="A5409" s="6">
        <v>43665</v>
      </c>
      <c r="B5409">
        <v>2.4620000000000002E-4</v>
      </c>
    </row>
    <row r="5410" spans="1:2" x14ac:dyDescent="0.25">
      <c r="A5410" s="6">
        <v>43668</v>
      </c>
      <c r="B5410">
        <v>2.4620000000000002E-4</v>
      </c>
    </row>
    <row r="5411" spans="1:2" x14ac:dyDescent="0.25">
      <c r="A5411" s="6">
        <v>43669</v>
      </c>
      <c r="B5411">
        <v>2.4620000000000002E-4</v>
      </c>
    </row>
    <row r="5412" spans="1:2" x14ac:dyDescent="0.25">
      <c r="A5412" s="6">
        <v>43670</v>
      </c>
      <c r="B5412">
        <v>2.4620000000000002E-4</v>
      </c>
    </row>
    <row r="5413" spans="1:2" x14ac:dyDescent="0.25">
      <c r="A5413" s="6">
        <v>43671</v>
      </c>
      <c r="B5413">
        <v>2.4620000000000002E-4</v>
      </c>
    </row>
    <row r="5414" spans="1:2" x14ac:dyDescent="0.25">
      <c r="A5414" s="6">
        <v>43672</v>
      </c>
      <c r="B5414">
        <v>2.4620000000000002E-4</v>
      </c>
    </row>
    <row r="5415" spans="1:2" x14ac:dyDescent="0.25">
      <c r="A5415" s="6">
        <v>43675</v>
      </c>
      <c r="B5415">
        <v>2.4620000000000002E-4</v>
      </c>
    </row>
    <row r="5416" spans="1:2" x14ac:dyDescent="0.25">
      <c r="A5416" s="6">
        <v>43676</v>
      </c>
      <c r="B5416">
        <v>2.4620000000000002E-4</v>
      </c>
    </row>
    <row r="5417" spans="1:2" x14ac:dyDescent="0.25">
      <c r="A5417" s="6">
        <v>43677</v>
      </c>
      <c r="B5417">
        <v>2.4620000000000002E-4</v>
      </c>
    </row>
    <row r="5418" spans="1:2" x14ac:dyDescent="0.25">
      <c r="A5418" s="6">
        <v>43678</v>
      </c>
      <c r="B5418">
        <v>2.2751E-4</v>
      </c>
    </row>
    <row r="5419" spans="1:2" x14ac:dyDescent="0.25">
      <c r="A5419" s="6">
        <v>43679</v>
      </c>
      <c r="B5419">
        <v>2.2751E-4</v>
      </c>
    </row>
    <row r="5420" spans="1:2" x14ac:dyDescent="0.25">
      <c r="A5420" s="6">
        <v>43682</v>
      </c>
      <c r="B5420">
        <v>2.2751E-4</v>
      </c>
    </row>
    <row r="5421" spans="1:2" x14ac:dyDescent="0.25">
      <c r="A5421" s="6">
        <v>43683</v>
      </c>
      <c r="B5421">
        <v>2.2751E-4</v>
      </c>
    </row>
    <row r="5422" spans="1:2" x14ac:dyDescent="0.25">
      <c r="A5422" s="6">
        <v>43684</v>
      </c>
      <c r="B5422">
        <v>2.2751E-4</v>
      </c>
    </row>
    <row r="5423" spans="1:2" x14ac:dyDescent="0.25">
      <c r="A5423" s="6">
        <v>43685</v>
      </c>
      <c r="B5423">
        <v>2.2751E-4</v>
      </c>
    </row>
    <row r="5424" spans="1:2" x14ac:dyDescent="0.25">
      <c r="A5424" s="6">
        <v>43686</v>
      </c>
      <c r="B5424">
        <v>2.2751E-4</v>
      </c>
    </row>
    <row r="5425" spans="1:2" x14ac:dyDescent="0.25">
      <c r="A5425" s="6">
        <v>43689</v>
      </c>
      <c r="B5425">
        <v>2.2751E-4</v>
      </c>
    </row>
    <row r="5426" spans="1:2" x14ac:dyDescent="0.25">
      <c r="A5426" s="6">
        <v>43690</v>
      </c>
      <c r="B5426">
        <v>2.2751E-4</v>
      </c>
    </row>
    <row r="5427" spans="1:2" x14ac:dyDescent="0.25">
      <c r="A5427" s="6">
        <v>43691</v>
      </c>
      <c r="B5427">
        <v>2.2751E-4</v>
      </c>
    </row>
    <row r="5428" spans="1:2" x14ac:dyDescent="0.25">
      <c r="A5428" s="6">
        <v>43692</v>
      </c>
      <c r="B5428">
        <v>2.2751E-4</v>
      </c>
    </row>
    <row r="5429" spans="1:2" x14ac:dyDescent="0.25">
      <c r="A5429" s="6">
        <v>43693</v>
      </c>
      <c r="B5429">
        <v>2.2751E-4</v>
      </c>
    </row>
    <row r="5430" spans="1:2" x14ac:dyDescent="0.25">
      <c r="A5430" s="6">
        <v>43696</v>
      </c>
      <c r="B5430">
        <v>2.2751E-4</v>
      </c>
    </row>
    <row r="5431" spans="1:2" x14ac:dyDescent="0.25">
      <c r="A5431" s="6">
        <v>43697</v>
      </c>
      <c r="B5431">
        <v>2.2751E-4</v>
      </c>
    </row>
    <row r="5432" spans="1:2" x14ac:dyDescent="0.25">
      <c r="A5432" s="6">
        <v>43698</v>
      </c>
      <c r="B5432">
        <v>2.2751E-4</v>
      </c>
    </row>
    <row r="5433" spans="1:2" x14ac:dyDescent="0.25">
      <c r="A5433" s="6">
        <v>43699</v>
      </c>
      <c r="B5433">
        <v>2.2751E-4</v>
      </c>
    </row>
    <row r="5434" spans="1:2" x14ac:dyDescent="0.25">
      <c r="A5434" s="6">
        <v>43700</v>
      </c>
      <c r="B5434">
        <v>2.2751E-4</v>
      </c>
    </row>
    <row r="5435" spans="1:2" x14ac:dyDescent="0.25">
      <c r="A5435" s="6">
        <v>43703</v>
      </c>
      <c r="B5435">
        <v>2.2751E-4</v>
      </c>
    </row>
    <row r="5436" spans="1:2" x14ac:dyDescent="0.25">
      <c r="A5436" s="6">
        <v>43704</v>
      </c>
      <c r="B5436">
        <v>2.2751E-4</v>
      </c>
    </row>
    <row r="5437" spans="1:2" x14ac:dyDescent="0.25">
      <c r="A5437" s="6">
        <v>43705</v>
      </c>
      <c r="B5437">
        <v>2.2751E-4</v>
      </c>
    </row>
    <row r="5438" spans="1:2" x14ac:dyDescent="0.25">
      <c r="A5438" s="6">
        <v>43706</v>
      </c>
      <c r="B5438">
        <v>2.2751E-4</v>
      </c>
    </row>
    <row r="5439" spans="1:2" x14ac:dyDescent="0.25">
      <c r="A5439" s="6">
        <v>43707</v>
      </c>
      <c r="B5439">
        <v>2.2751E-4</v>
      </c>
    </row>
    <row r="5440" spans="1:2" x14ac:dyDescent="0.25">
      <c r="A5440" s="6">
        <v>43710</v>
      </c>
      <c r="B5440">
        <v>2.2751E-4</v>
      </c>
    </row>
    <row r="5441" spans="1:2" x14ac:dyDescent="0.25">
      <c r="A5441" s="6">
        <v>43711</v>
      </c>
      <c r="B5441">
        <v>2.2751E-4</v>
      </c>
    </row>
    <row r="5442" spans="1:2" x14ac:dyDescent="0.25">
      <c r="A5442" s="6">
        <v>43712</v>
      </c>
      <c r="B5442">
        <v>2.2751E-4</v>
      </c>
    </row>
    <row r="5443" spans="1:2" x14ac:dyDescent="0.25">
      <c r="A5443" s="6">
        <v>43713</v>
      </c>
      <c r="B5443">
        <v>2.2751E-4</v>
      </c>
    </row>
    <row r="5444" spans="1:2" x14ac:dyDescent="0.25">
      <c r="A5444" s="6">
        <v>43714</v>
      </c>
      <c r="B5444">
        <v>2.2751E-4</v>
      </c>
    </row>
    <row r="5445" spans="1:2" x14ac:dyDescent="0.25">
      <c r="A5445" s="6">
        <v>43717</v>
      </c>
      <c r="B5445">
        <v>2.2751E-4</v>
      </c>
    </row>
    <row r="5446" spans="1:2" x14ac:dyDescent="0.25">
      <c r="A5446" s="6">
        <v>43718</v>
      </c>
      <c r="B5446">
        <v>2.2751E-4</v>
      </c>
    </row>
    <row r="5447" spans="1:2" x14ac:dyDescent="0.25">
      <c r="A5447" s="6">
        <v>43719</v>
      </c>
      <c r="B5447">
        <v>2.2751E-4</v>
      </c>
    </row>
    <row r="5448" spans="1:2" x14ac:dyDescent="0.25">
      <c r="A5448" s="6">
        <v>43720</v>
      </c>
      <c r="B5448">
        <v>2.2751E-4</v>
      </c>
    </row>
    <row r="5449" spans="1:2" x14ac:dyDescent="0.25">
      <c r="A5449" s="6">
        <v>43721</v>
      </c>
      <c r="B5449">
        <v>2.2751E-4</v>
      </c>
    </row>
    <row r="5450" spans="1:2" x14ac:dyDescent="0.25">
      <c r="A5450" s="6">
        <v>43724</v>
      </c>
      <c r="B5450">
        <v>2.2751E-4</v>
      </c>
    </row>
    <row r="5451" spans="1:2" x14ac:dyDescent="0.25">
      <c r="A5451" s="6">
        <v>43725</v>
      </c>
      <c r="B5451">
        <v>2.2751E-4</v>
      </c>
    </row>
    <row r="5452" spans="1:2" x14ac:dyDescent="0.25">
      <c r="A5452" s="6">
        <v>43726</v>
      </c>
      <c r="B5452">
        <v>2.2751E-4</v>
      </c>
    </row>
    <row r="5453" spans="1:2" x14ac:dyDescent="0.25">
      <c r="A5453" s="6">
        <v>43727</v>
      </c>
      <c r="B5453">
        <v>2.0872000000000002E-4</v>
      </c>
    </row>
    <row r="5454" spans="1:2" x14ac:dyDescent="0.25">
      <c r="A5454" s="6">
        <v>43728</v>
      </c>
      <c r="B5454">
        <v>2.0872000000000002E-4</v>
      </c>
    </row>
    <row r="5455" spans="1:2" x14ac:dyDescent="0.25">
      <c r="A5455" s="6">
        <v>43731</v>
      </c>
      <c r="B5455">
        <v>2.0872000000000002E-4</v>
      </c>
    </row>
    <row r="5456" spans="1:2" x14ac:dyDescent="0.25">
      <c r="A5456" s="6">
        <v>43732</v>
      </c>
      <c r="B5456">
        <v>2.0872000000000002E-4</v>
      </c>
    </row>
    <row r="5457" spans="1:2" x14ac:dyDescent="0.25">
      <c r="A5457" s="6">
        <v>43733</v>
      </c>
      <c r="B5457">
        <v>2.0872000000000002E-4</v>
      </c>
    </row>
    <row r="5458" spans="1:2" x14ac:dyDescent="0.25">
      <c r="A5458" s="6">
        <v>43734</v>
      </c>
      <c r="B5458">
        <v>2.0872000000000002E-4</v>
      </c>
    </row>
    <row r="5459" spans="1:2" x14ac:dyDescent="0.25">
      <c r="A5459" s="6">
        <v>43735</v>
      </c>
      <c r="B5459">
        <v>2.0872000000000002E-4</v>
      </c>
    </row>
    <row r="5460" spans="1:2" x14ac:dyDescent="0.25">
      <c r="A5460" s="6">
        <v>43738</v>
      </c>
      <c r="B5460">
        <v>2.0872000000000002E-4</v>
      </c>
    </row>
    <row r="5461" spans="1:2" x14ac:dyDescent="0.25">
      <c r="A5461" s="6">
        <v>43739</v>
      </c>
      <c r="B5461">
        <v>2.0872000000000002E-4</v>
      </c>
    </row>
    <row r="5462" spans="1:2" x14ac:dyDescent="0.25">
      <c r="A5462" s="6">
        <v>43740</v>
      </c>
      <c r="B5462">
        <v>2.0872000000000002E-4</v>
      </c>
    </row>
    <row r="5463" spans="1:2" x14ac:dyDescent="0.25">
      <c r="A5463" s="6">
        <v>43741</v>
      </c>
      <c r="B5463">
        <v>2.0872000000000002E-4</v>
      </c>
    </row>
    <row r="5464" spans="1:2" x14ac:dyDescent="0.25">
      <c r="A5464" s="6">
        <v>43742</v>
      </c>
      <c r="B5464">
        <v>2.0872000000000002E-4</v>
      </c>
    </row>
    <row r="5465" spans="1:2" x14ac:dyDescent="0.25">
      <c r="A5465" s="6">
        <v>43745</v>
      </c>
      <c r="B5465">
        <v>2.0872000000000002E-4</v>
      </c>
    </row>
    <row r="5466" spans="1:2" x14ac:dyDescent="0.25">
      <c r="A5466" s="6">
        <v>43746</v>
      </c>
      <c r="B5466">
        <v>2.0872000000000002E-4</v>
      </c>
    </row>
    <row r="5467" spans="1:2" x14ac:dyDescent="0.25">
      <c r="A5467" s="6">
        <v>43747</v>
      </c>
      <c r="B5467">
        <v>2.0872000000000002E-4</v>
      </c>
    </row>
    <row r="5468" spans="1:2" x14ac:dyDescent="0.25">
      <c r="A5468" s="6">
        <v>43748</v>
      </c>
      <c r="B5468">
        <v>2.0872000000000002E-4</v>
      </c>
    </row>
    <row r="5469" spans="1:2" x14ac:dyDescent="0.25">
      <c r="A5469" s="6">
        <v>43749</v>
      </c>
      <c r="B5469">
        <v>2.0872000000000002E-4</v>
      </c>
    </row>
    <row r="5470" spans="1:2" x14ac:dyDescent="0.25">
      <c r="A5470" s="6">
        <v>43752</v>
      </c>
      <c r="B5470">
        <v>2.0872000000000002E-4</v>
      </c>
    </row>
    <row r="5471" spans="1:2" x14ac:dyDescent="0.25">
      <c r="A5471" s="6">
        <v>43753</v>
      </c>
      <c r="B5471">
        <v>2.0872000000000002E-4</v>
      </c>
    </row>
    <row r="5472" spans="1:2" x14ac:dyDescent="0.25">
      <c r="A5472" s="6">
        <v>43754</v>
      </c>
      <c r="B5472">
        <v>2.0872000000000002E-4</v>
      </c>
    </row>
    <row r="5473" spans="1:2" x14ac:dyDescent="0.25">
      <c r="A5473" s="6">
        <v>43755</v>
      </c>
      <c r="B5473">
        <v>2.0872000000000002E-4</v>
      </c>
    </row>
    <row r="5474" spans="1:2" x14ac:dyDescent="0.25">
      <c r="A5474" s="6">
        <v>43756</v>
      </c>
      <c r="B5474">
        <v>2.0872000000000002E-4</v>
      </c>
    </row>
    <row r="5475" spans="1:2" x14ac:dyDescent="0.25">
      <c r="A5475" s="6">
        <v>43759</v>
      </c>
      <c r="B5475">
        <v>2.0872000000000002E-4</v>
      </c>
    </row>
    <row r="5476" spans="1:2" x14ac:dyDescent="0.25">
      <c r="A5476" s="6">
        <v>43760</v>
      </c>
      <c r="B5476">
        <v>2.0872000000000002E-4</v>
      </c>
    </row>
    <row r="5477" spans="1:2" x14ac:dyDescent="0.25">
      <c r="A5477" s="6">
        <v>43761</v>
      </c>
      <c r="B5477">
        <v>2.0872000000000002E-4</v>
      </c>
    </row>
    <row r="5478" spans="1:2" x14ac:dyDescent="0.25">
      <c r="A5478" s="6">
        <v>43762</v>
      </c>
      <c r="B5478">
        <v>2.0872000000000002E-4</v>
      </c>
    </row>
    <row r="5479" spans="1:2" x14ac:dyDescent="0.25">
      <c r="A5479" s="6">
        <v>43763</v>
      </c>
      <c r="B5479">
        <v>2.0872000000000002E-4</v>
      </c>
    </row>
    <row r="5480" spans="1:2" x14ac:dyDescent="0.25">
      <c r="A5480" s="6">
        <v>43766</v>
      </c>
      <c r="B5480">
        <v>2.0872000000000002E-4</v>
      </c>
    </row>
    <row r="5481" spans="1:2" x14ac:dyDescent="0.25">
      <c r="A5481" s="6">
        <v>43767</v>
      </c>
      <c r="B5481">
        <v>2.0872000000000002E-4</v>
      </c>
    </row>
    <row r="5482" spans="1:2" x14ac:dyDescent="0.25">
      <c r="A5482" s="6">
        <v>43768</v>
      </c>
      <c r="B5482">
        <v>2.0872000000000002E-4</v>
      </c>
    </row>
    <row r="5483" spans="1:2" x14ac:dyDescent="0.25">
      <c r="A5483" s="6">
        <v>43769</v>
      </c>
      <c r="B5483">
        <v>1.8984999999999998E-4</v>
      </c>
    </row>
    <row r="5484" spans="1:2" x14ac:dyDescent="0.25">
      <c r="A5484" s="6">
        <v>43770</v>
      </c>
      <c r="B5484">
        <v>1.8984999999999998E-4</v>
      </c>
    </row>
    <row r="5485" spans="1:2" x14ac:dyDescent="0.25">
      <c r="A5485" s="6">
        <v>43773</v>
      </c>
      <c r="B5485">
        <v>1.8984999999999998E-4</v>
      </c>
    </row>
    <row r="5486" spans="1:2" x14ac:dyDescent="0.25">
      <c r="A5486" s="6">
        <v>43774</v>
      </c>
      <c r="B5486">
        <v>1.8984999999999998E-4</v>
      </c>
    </row>
    <row r="5487" spans="1:2" x14ac:dyDescent="0.25">
      <c r="A5487" s="6">
        <v>43775</v>
      </c>
      <c r="B5487">
        <v>1.8984999999999998E-4</v>
      </c>
    </row>
    <row r="5488" spans="1:2" x14ac:dyDescent="0.25">
      <c r="A5488" s="6">
        <v>43776</v>
      </c>
      <c r="B5488">
        <v>1.8984999999999998E-4</v>
      </c>
    </row>
    <row r="5489" spans="1:2" x14ac:dyDescent="0.25">
      <c r="A5489" s="6">
        <v>43777</v>
      </c>
      <c r="B5489">
        <v>1.8984999999999998E-4</v>
      </c>
    </row>
    <row r="5490" spans="1:2" x14ac:dyDescent="0.25">
      <c r="A5490" s="6">
        <v>43780</v>
      </c>
      <c r="B5490">
        <v>1.8984999999999998E-4</v>
      </c>
    </row>
    <row r="5491" spans="1:2" x14ac:dyDescent="0.25">
      <c r="A5491" s="6">
        <v>43781</v>
      </c>
      <c r="B5491">
        <v>1.8984999999999998E-4</v>
      </c>
    </row>
    <row r="5492" spans="1:2" x14ac:dyDescent="0.25">
      <c r="A5492" s="6">
        <v>43782</v>
      </c>
      <c r="B5492">
        <v>1.8984999999999998E-4</v>
      </c>
    </row>
    <row r="5493" spans="1:2" x14ac:dyDescent="0.25">
      <c r="A5493" s="6">
        <v>43783</v>
      </c>
      <c r="B5493">
        <v>1.8984999999999998E-4</v>
      </c>
    </row>
    <row r="5494" spans="1:2" x14ac:dyDescent="0.25">
      <c r="A5494" s="6">
        <v>43787</v>
      </c>
      <c r="B5494">
        <v>1.8984999999999998E-4</v>
      </c>
    </row>
    <row r="5495" spans="1:2" x14ac:dyDescent="0.25">
      <c r="A5495" s="6">
        <v>43788</v>
      </c>
      <c r="B5495">
        <v>1.8984999999999998E-4</v>
      </c>
    </row>
    <row r="5496" spans="1:2" x14ac:dyDescent="0.25">
      <c r="A5496" s="6">
        <v>43789</v>
      </c>
      <c r="B5496">
        <v>1.8984999999999998E-4</v>
      </c>
    </row>
    <row r="5497" spans="1:2" x14ac:dyDescent="0.25">
      <c r="A5497" s="6">
        <v>43790</v>
      </c>
      <c r="B5497">
        <v>1.8984999999999998E-4</v>
      </c>
    </row>
    <row r="5498" spans="1:2" x14ac:dyDescent="0.25">
      <c r="A5498" s="6">
        <v>43791</v>
      </c>
      <c r="B5498">
        <v>1.8984999999999998E-4</v>
      </c>
    </row>
    <row r="5499" spans="1:2" x14ac:dyDescent="0.25">
      <c r="A5499" s="6">
        <v>43794</v>
      </c>
      <c r="B5499">
        <v>1.8984999999999998E-4</v>
      </c>
    </row>
    <row r="5500" spans="1:2" x14ac:dyDescent="0.25">
      <c r="A5500" s="6">
        <v>43795</v>
      </c>
      <c r="B5500">
        <v>1.8984999999999998E-4</v>
      </c>
    </row>
    <row r="5501" spans="1:2" x14ac:dyDescent="0.25">
      <c r="A5501" s="6">
        <v>43796</v>
      </c>
      <c r="B5501">
        <v>1.8984999999999998E-4</v>
      </c>
    </row>
    <row r="5502" spans="1:2" x14ac:dyDescent="0.25">
      <c r="A5502" s="6">
        <v>43797</v>
      </c>
      <c r="B5502">
        <v>1.8984999999999998E-4</v>
      </c>
    </row>
    <row r="5503" spans="1:2" x14ac:dyDescent="0.25">
      <c r="A5503" s="6">
        <v>43798</v>
      </c>
      <c r="B5503">
        <v>1.8984999999999998E-4</v>
      </c>
    </row>
    <row r="5504" spans="1:2" x14ac:dyDescent="0.25">
      <c r="A5504" s="6">
        <v>43801</v>
      </c>
      <c r="B5504">
        <v>1.8984999999999998E-4</v>
      </c>
    </row>
    <row r="5505" spans="1:2" x14ac:dyDescent="0.25">
      <c r="A5505" s="6">
        <v>43802</v>
      </c>
      <c r="B5505">
        <v>1.8984999999999998E-4</v>
      </c>
    </row>
    <row r="5506" spans="1:2" x14ac:dyDescent="0.25">
      <c r="A5506" s="6">
        <v>43803</v>
      </c>
      <c r="B5506">
        <v>1.8984999999999998E-4</v>
      </c>
    </row>
    <row r="5507" spans="1:2" x14ac:dyDescent="0.25">
      <c r="A5507" s="6">
        <v>43804</v>
      </c>
      <c r="B5507">
        <v>1.8984999999999998E-4</v>
      </c>
    </row>
    <row r="5508" spans="1:2" x14ac:dyDescent="0.25">
      <c r="A5508" s="6">
        <v>43805</v>
      </c>
      <c r="B5508">
        <v>1.8984999999999998E-4</v>
      </c>
    </row>
    <row r="5509" spans="1:2" x14ac:dyDescent="0.25">
      <c r="A5509" s="6">
        <v>43808</v>
      </c>
      <c r="B5509">
        <v>1.8984999999999998E-4</v>
      </c>
    </row>
    <row r="5510" spans="1:2" x14ac:dyDescent="0.25">
      <c r="A5510" s="6">
        <v>43809</v>
      </c>
      <c r="B5510">
        <v>1.8984999999999998E-4</v>
      </c>
    </row>
    <row r="5511" spans="1:2" x14ac:dyDescent="0.25">
      <c r="A5511" s="6">
        <v>43810</v>
      </c>
      <c r="B5511">
        <v>1.8984999999999998E-4</v>
      </c>
    </row>
    <row r="5512" spans="1:2" x14ac:dyDescent="0.25">
      <c r="A5512" s="6">
        <v>43811</v>
      </c>
      <c r="B5512">
        <v>1.7089000000000001E-4</v>
      </c>
    </row>
    <row r="5513" spans="1:2" x14ac:dyDescent="0.25">
      <c r="A5513" s="6">
        <v>43812</v>
      </c>
      <c r="B5513">
        <v>1.7089000000000001E-4</v>
      </c>
    </row>
    <row r="5514" spans="1:2" x14ac:dyDescent="0.25">
      <c r="A5514" s="6">
        <v>43815</v>
      </c>
      <c r="B5514">
        <v>1.7089000000000001E-4</v>
      </c>
    </row>
    <row r="5515" spans="1:2" x14ac:dyDescent="0.25">
      <c r="A5515" s="6">
        <v>43816</v>
      </c>
      <c r="B5515">
        <v>1.7089000000000001E-4</v>
      </c>
    </row>
    <row r="5516" spans="1:2" x14ac:dyDescent="0.25">
      <c r="A5516" s="6">
        <v>43817</v>
      </c>
      <c r="B5516">
        <v>1.7089000000000001E-4</v>
      </c>
    </row>
    <row r="5517" spans="1:2" x14ac:dyDescent="0.25">
      <c r="A5517" s="6">
        <v>43818</v>
      </c>
      <c r="B5517">
        <v>1.7089000000000001E-4</v>
      </c>
    </row>
    <row r="5518" spans="1:2" x14ac:dyDescent="0.25">
      <c r="A5518" s="6">
        <v>43819</v>
      </c>
      <c r="B5518">
        <v>1.7089000000000001E-4</v>
      </c>
    </row>
    <row r="5519" spans="1:2" x14ac:dyDescent="0.25">
      <c r="A5519" s="6">
        <v>43822</v>
      </c>
      <c r="B5519">
        <v>1.7089000000000001E-4</v>
      </c>
    </row>
    <row r="5520" spans="1:2" x14ac:dyDescent="0.25">
      <c r="A5520" s="6">
        <v>43823</v>
      </c>
      <c r="B5520">
        <v>1.7089000000000001E-4</v>
      </c>
    </row>
    <row r="5521" spans="1:2" x14ac:dyDescent="0.25">
      <c r="A5521" s="6">
        <v>43825</v>
      </c>
      <c r="B5521">
        <v>1.7089000000000001E-4</v>
      </c>
    </row>
    <row r="5522" spans="1:2" x14ac:dyDescent="0.25">
      <c r="A5522" s="6">
        <v>43826</v>
      </c>
      <c r="B5522">
        <v>1.7089000000000001E-4</v>
      </c>
    </row>
    <row r="5523" spans="1:2" x14ac:dyDescent="0.25">
      <c r="A5523" s="6">
        <v>43829</v>
      </c>
      <c r="B5523">
        <v>1.7089000000000001E-4</v>
      </c>
    </row>
    <row r="5524" spans="1:2" x14ac:dyDescent="0.25">
      <c r="A5524" s="6">
        <v>43830</v>
      </c>
      <c r="B5524">
        <v>1.7089000000000001E-4</v>
      </c>
    </row>
    <row r="5525" spans="1:2" x14ac:dyDescent="0.25">
      <c r="A5525" s="6">
        <v>43832</v>
      </c>
      <c r="B5525">
        <v>1.7089000000000001E-4</v>
      </c>
    </row>
    <row r="5526" spans="1:2" x14ac:dyDescent="0.25">
      <c r="A5526" s="6">
        <v>43833</v>
      </c>
      <c r="B5526">
        <v>1.7089000000000001E-4</v>
      </c>
    </row>
    <row r="5527" spans="1:2" x14ac:dyDescent="0.25">
      <c r="A5527" s="6">
        <v>43836</v>
      </c>
      <c r="B5527">
        <v>1.7089000000000001E-4</v>
      </c>
    </row>
    <row r="5528" spans="1:2" x14ac:dyDescent="0.25">
      <c r="A5528" s="6">
        <v>43837</v>
      </c>
      <c r="B5528">
        <v>1.7089000000000001E-4</v>
      </c>
    </row>
    <row r="5529" spans="1:2" x14ac:dyDescent="0.25">
      <c r="A5529" s="6">
        <v>43838</v>
      </c>
      <c r="B5529">
        <v>1.7089000000000001E-4</v>
      </c>
    </row>
    <row r="5530" spans="1:2" x14ac:dyDescent="0.25">
      <c r="A5530" s="6">
        <v>43839</v>
      </c>
      <c r="B5530">
        <v>1.7089000000000001E-4</v>
      </c>
    </row>
    <row r="5531" spans="1:2" x14ac:dyDescent="0.25">
      <c r="A5531" s="6">
        <v>43840</v>
      </c>
      <c r="B5531">
        <v>1.7089000000000001E-4</v>
      </c>
    </row>
    <row r="5532" spans="1:2" x14ac:dyDescent="0.25">
      <c r="A5532" s="6">
        <v>43843</v>
      </c>
      <c r="B5532">
        <v>1.7089000000000001E-4</v>
      </c>
    </row>
    <row r="5533" spans="1:2" x14ac:dyDescent="0.25">
      <c r="A5533" s="6">
        <v>43844</v>
      </c>
      <c r="B5533">
        <v>1.7089000000000001E-4</v>
      </c>
    </row>
    <row r="5534" spans="1:2" x14ac:dyDescent="0.25">
      <c r="A5534" s="6">
        <v>43845</v>
      </c>
      <c r="B5534">
        <v>1.7089000000000001E-4</v>
      </c>
    </row>
    <row r="5535" spans="1:2" x14ac:dyDescent="0.25">
      <c r="A5535" s="6">
        <v>43846</v>
      </c>
      <c r="B5535">
        <v>1.7089000000000001E-4</v>
      </c>
    </row>
    <row r="5536" spans="1:2" x14ac:dyDescent="0.25">
      <c r="A5536" s="6">
        <v>43847</v>
      </c>
      <c r="B5536">
        <v>1.7089000000000001E-4</v>
      </c>
    </row>
    <row r="5537" spans="1:2" x14ac:dyDescent="0.25">
      <c r="A5537" s="6">
        <v>43850</v>
      </c>
      <c r="B5537">
        <v>1.7089000000000001E-4</v>
      </c>
    </row>
    <row r="5538" spans="1:2" x14ac:dyDescent="0.25">
      <c r="A5538" s="6">
        <v>43851</v>
      </c>
      <c r="B5538">
        <v>1.7089000000000001E-4</v>
      </c>
    </row>
    <row r="5539" spans="1:2" x14ac:dyDescent="0.25">
      <c r="A5539" s="6">
        <v>43852</v>
      </c>
      <c r="B5539">
        <v>1.7089000000000001E-4</v>
      </c>
    </row>
    <row r="5540" spans="1:2" x14ac:dyDescent="0.25">
      <c r="A5540" s="6">
        <v>43853</v>
      </c>
      <c r="B5540">
        <v>1.7089000000000001E-4</v>
      </c>
    </row>
    <row r="5541" spans="1:2" x14ac:dyDescent="0.25">
      <c r="A5541" s="6">
        <v>43854</v>
      </c>
      <c r="B5541">
        <v>1.7089000000000001E-4</v>
      </c>
    </row>
    <row r="5542" spans="1:2" x14ac:dyDescent="0.25">
      <c r="A5542" s="6">
        <v>43857</v>
      </c>
      <c r="B5542">
        <v>1.7089000000000001E-4</v>
      </c>
    </row>
    <row r="5543" spans="1:2" x14ac:dyDescent="0.25">
      <c r="A5543" s="6">
        <v>43858</v>
      </c>
      <c r="B5543">
        <v>1.7089000000000001E-4</v>
      </c>
    </row>
    <row r="5544" spans="1:2" x14ac:dyDescent="0.25">
      <c r="A5544" s="6">
        <v>43859</v>
      </c>
      <c r="B5544">
        <v>1.7089000000000001E-4</v>
      </c>
    </row>
    <row r="5545" spans="1:2" x14ac:dyDescent="0.25">
      <c r="A5545" s="6">
        <v>43860</v>
      </c>
      <c r="B5545">
        <v>1.7089000000000001E-4</v>
      </c>
    </row>
    <row r="5546" spans="1:2" x14ac:dyDescent="0.25">
      <c r="A5546" s="6">
        <v>43861</v>
      </c>
      <c r="B5546">
        <v>1.7089000000000001E-4</v>
      </c>
    </row>
    <row r="5547" spans="1:2" x14ac:dyDescent="0.25">
      <c r="A5547" s="6">
        <v>43864</v>
      </c>
      <c r="B5547">
        <v>1.7089000000000001E-4</v>
      </c>
    </row>
    <row r="5548" spans="1:2" x14ac:dyDescent="0.25">
      <c r="A5548" s="6">
        <v>43865</v>
      </c>
      <c r="B5548">
        <v>1.7089000000000001E-4</v>
      </c>
    </row>
    <row r="5549" spans="1:2" x14ac:dyDescent="0.25">
      <c r="A5549" s="6">
        <v>43866</v>
      </c>
      <c r="B5549">
        <v>1.7089000000000001E-4</v>
      </c>
    </row>
    <row r="5550" spans="1:2" x14ac:dyDescent="0.25">
      <c r="A5550" s="6">
        <v>43867</v>
      </c>
      <c r="B5550">
        <v>1.6136999999999998E-4</v>
      </c>
    </row>
    <row r="5551" spans="1:2" x14ac:dyDescent="0.25">
      <c r="A5551" s="6">
        <v>43868</v>
      </c>
      <c r="B5551">
        <v>1.6136999999999998E-4</v>
      </c>
    </row>
    <row r="5552" spans="1:2" x14ac:dyDescent="0.25">
      <c r="A5552" s="6">
        <v>43871</v>
      </c>
      <c r="B5552">
        <v>1.6136999999999998E-4</v>
      </c>
    </row>
    <row r="5553" spans="1:2" x14ac:dyDescent="0.25">
      <c r="A5553" s="6">
        <v>43872</v>
      </c>
      <c r="B5553">
        <v>1.6136999999999998E-4</v>
      </c>
    </row>
    <row r="5554" spans="1:2" x14ac:dyDescent="0.25">
      <c r="A5554" s="6">
        <v>43873</v>
      </c>
      <c r="B5554">
        <v>1.6136999999999998E-4</v>
      </c>
    </row>
    <row r="5555" spans="1:2" x14ac:dyDescent="0.25">
      <c r="A5555" s="6">
        <v>43874</v>
      </c>
      <c r="B5555">
        <v>1.6136999999999998E-4</v>
      </c>
    </row>
    <row r="5556" spans="1:2" x14ac:dyDescent="0.25">
      <c r="A5556" s="6">
        <v>43875</v>
      </c>
      <c r="B5556">
        <v>1.6136999999999998E-4</v>
      </c>
    </row>
    <row r="5557" spans="1:2" x14ac:dyDescent="0.25">
      <c r="A5557" s="6">
        <v>43878</v>
      </c>
      <c r="B5557">
        <v>1.6136999999999998E-4</v>
      </c>
    </row>
    <row r="5558" spans="1:2" x14ac:dyDescent="0.25">
      <c r="A5558" s="6">
        <v>43879</v>
      </c>
      <c r="B5558">
        <v>1.6136999999999998E-4</v>
      </c>
    </row>
    <row r="5559" spans="1:2" x14ac:dyDescent="0.25">
      <c r="A5559" s="6">
        <v>43880</v>
      </c>
      <c r="B5559">
        <v>1.6136999999999998E-4</v>
      </c>
    </row>
    <row r="5560" spans="1:2" x14ac:dyDescent="0.25">
      <c r="A5560" s="6">
        <v>43881</v>
      </c>
      <c r="B5560">
        <v>1.6136999999999998E-4</v>
      </c>
    </row>
    <row r="5561" spans="1:2" x14ac:dyDescent="0.25">
      <c r="A5561" s="6">
        <v>43882</v>
      </c>
      <c r="B5561">
        <v>1.6136999999999998E-4</v>
      </c>
    </row>
    <row r="5562" spans="1:2" x14ac:dyDescent="0.25">
      <c r="A5562" s="6">
        <v>43887</v>
      </c>
      <c r="B5562">
        <v>1.6136999999999998E-4</v>
      </c>
    </row>
    <row r="5563" spans="1:2" x14ac:dyDescent="0.25">
      <c r="A5563" s="6">
        <v>43888</v>
      </c>
      <c r="B5563">
        <v>1.6136999999999998E-4</v>
      </c>
    </row>
    <row r="5564" spans="1:2" x14ac:dyDescent="0.25">
      <c r="A5564" s="6">
        <v>43889</v>
      </c>
      <c r="B5564">
        <v>1.6136999999999998E-4</v>
      </c>
    </row>
    <row r="5565" spans="1:2" x14ac:dyDescent="0.25">
      <c r="A5565" s="6">
        <v>43892</v>
      </c>
      <c r="B5565">
        <v>1.6136999999999998E-4</v>
      </c>
    </row>
    <row r="5566" spans="1:2" x14ac:dyDescent="0.25">
      <c r="A5566" s="6">
        <v>43893</v>
      </c>
      <c r="B5566">
        <v>1.6136999999999998E-4</v>
      </c>
    </row>
    <row r="5567" spans="1:2" x14ac:dyDescent="0.25">
      <c r="A5567" s="6">
        <v>43894</v>
      </c>
      <c r="B5567">
        <v>1.6136999999999998E-4</v>
      </c>
    </row>
    <row r="5568" spans="1:2" x14ac:dyDescent="0.25">
      <c r="A5568" s="6">
        <v>43895</v>
      </c>
      <c r="B5568">
        <v>1.6136999999999998E-4</v>
      </c>
    </row>
    <row r="5569" spans="1:2" x14ac:dyDescent="0.25">
      <c r="A5569" s="6">
        <v>43896</v>
      </c>
      <c r="B5569">
        <v>1.6136999999999998E-4</v>
      </c>
    </row>
    <row r="5570" spans="1:2" x14ac:dyDescent="0.25">
      <c r="A5570" s="6">
        <v>43899</v>
      </c>
      <c r="B5570">
        <v>1.6136999999999998E-4</v>
      </c>
    </row>
    <row r="5571" spans="1:2" x14ac:dyDescent="0.25">
      <c r="A5571" s="6">
        <v>43900</v>
      </c>
      <c r="B5571">
        <v>1.6136999999999998E-4</v>
      </c>
    </row>
    <row r="5572" spans="1:2" x14ac:dyDescent="0.25">
      <c r="A5572" s="6">
        <v>43901</v>
      </c>
      <c r="B5572">
        <v>1.6136999999999998E-4</v>
      </c>
    </row>
    <row r="5573" spans="1:2" x14ac:dyDescent="0.25">
      <c r="A5573" s="6">
        <v>43902</v>
      </c>
      <c r="B5573">
        <v>1.6136999999999998E-4</v>
      </c>
    </row>
    <row r="5574" spans="1:2" x14ac:dyDescent="0.25">
      <c r="A5574" s="6">
        <v>43903</v>
      </c>
      <c r="B5574">
        <v>1.6136999999999998E-4</v>
      </c>
    </row>
    <row r="5575" spans="1:2" x14ac:dyDescent="0.25">
      <c r="A5575" s="6">
        <v>43906</v>
      </c>
      <c r="B5575">
        <v>1.6136999999999998E-4</v>
      </c>
    </row>
    <row r="5576" spans="1:2" x14ac:dyDescent="0.25">
      <c r="A5576" s="6">
        <v>43907</v>
      </c>
      <c r="B5576">
        <v>1.6136999999999998E-4</v>
      </c>
    </row>
    <row r="5577" spans="1:2" x14ac:dyDescent="0.25">
      <c r="A5577" s="6">
        <v>43908</v>
      </c>
      <c r="B5577">
        <v>1.6136999999999998E-4</v>
      </c>
    </row>
    <row r="5578" spans="1:2" x14ac:dyDescent="0.25">
      <c r="A5578" s="6">
        <v>43909</v>
      </c>
      <c r="B5578">
        <v>1.4227E-4</v>
      </c>
    </row>
    <row r="5579" spans="1:2" x14ac:dyDescent="0.25">
      <c r="A5579" s="6">
        <v>43910</v>
      </c>
      <c r="B5579">
        <v>1.4227E-4</v>
      </c>
    </row>
    <row r="5580" spans="1:2" x14ac:dyDescent="0.25">
      <c r="A5580" s="6">
        <v>43913</v>
      </c>
      <c r="B5580">
        <v>1.4227E-4</v>
      </c>
    </row>
    <row r="5581" spans="1:2" x14ac:dyDescent="0.25">
      <c r="A5581" s="6">
        <v>43914</v>
      </c>
      <c r="B5581">
        <v>1.4227E-4</v>
      </c>
    </row>
    <row r="5582" spans="1:2" x14ac:dyDescent="0.25">
      <c r="A5582" s="6">
        <v>43915</v>
      </c>
      <c r="B5582">
        <v>1.4227E-4</v>
      </c>
    </row>
    <row r="5583" spans="1:2" x14ac:dyDescent="0.25">
      <c r="A5583" s="6">
        <v>43916</v>
      </c>
      <c r="B5583">
        <v>1.4227E-4</v>
      </c>
    </row>
    <row r="5584" spans="1:2" x14ac:dyDescent="0.25">
      <c r="A5584" s="6">
        <v>43917</v>
      </c>
      <c r="B5584">
        <v>1.4227E-4</v>
      </c>
    </row>
    <row r="5585" spans="1:2" x14ac:dyDescent="0.25">
      <c r="A5585" s="6">
        <v>43920</v>
      </c>
      <c r="B5585">
        <v>1.4227E-4</v>
      </c>
    </row>
    <row r="5586" spans="1:2" x14ac:dyDescent="0.25">
      <c r="A5586" s="6">
        <v>43921</v>
      </c>
      <c r="B5586">
        <v>1.4227E-4</v>
      </c>
    </row>
    <row r="5587" spans="1:2" x14ac:dyDescent="0.25">
      <c r="A5587" s="6">
        <v>43922</v>
      </c>
      <c r="B5587">
        <v>1.4227E-4</v>
      </c>
    </row>
    <row r="5588" spans="1:2" x14ac:dyDescent="0.25">
      <c r="A5588" s="6">
        <v>43923</v>
      </c>
      <c r="B5588">
        <v>1.4227E-4</v>
      </c>
    </row>
    <row r="5589" spans="1:2" x14ac:dyDescent="0.25">
      <c r="A5589" s="6">
        <v>43924</v>
      </c>
      <c r="B5589">
        <v>1.4227E-4</v>
      </c>
    </row>
    <row r="5590" spans="1:2" x14ac:dyDescent="0.25">
      <c r="A5590" s="6">
        <v>43927</v>
      </c>
      <c r="B5590">
        <v>1.4227E-4</v>
      </c>
    </row>
    <row r="5591" spans="1:2" x14ac:dyDescent="0.25">
      <c r="A5591" s="6">
        <v>43928</v>
      </c>
      <c r="B5591">
        <v>1.4227E-4</v>
      </c>
    </row>
    <row r="5592" spans="1:2" x14ac:dyDescent="0.25">
      <c r="A5592" s="6">
        <v>43929</v>
      </c>
      <c r="B5592">
        <v>1.4227E-4</v>
      </c>
    </row>
    <row r="5593" spans="1:2" x14ac:dyDescent="0.25">
      <c r="A5593" s="6">
        <v>43930</v>
      </c>
      <c r="B5593">
        <v>1.4227E-4</v>
      </c>
    </row>
    <row r="5594" spans="1:2" x14ac:dyDescent="0.25">
      <c r="A5594" s="6">
        <v>43934</v>
      </c>
      <c r="B5594">
        <v>1.4227E-4</v>
      </c>
    </row>
    <row r="5595" spans="1:2" x14ac:dyDescent="0.25">
      <c r="A5595" s="6">
        <v>43935</v>
      </c>
      <c r="B5595">
        <v>1.4227E-4</v>
      </c>
    </row>
    <row r="5596" spans="1:2" x14ac:dyDescent="0.25">
      <c r="A5596" s="6">
        <v>43936</v>
      </c>
      <c r="B5596">
        <v>1.4227E-4</v>
      </c>
    </row>
    <row r="5597" spans="1:2" x14ac:dyDescent="0.25">
      <c r="A5597" s="6">
        <v>43937</v>
      </c>
      <c r="B5597">
        <v>1.4227E-4</v>
      </c>
    </row>
    <row r="5598" spans="1:2" x14ac:dyDescent="0.25">
      <c r="A5598" s="6">
        <v>43938</v>
      </c>
      <c r="B5598">
        <v>1.4227E-4</v>
      </c>
    </row>
    <row r="5599" spans="1:2" x14ac:dyDescent="0.25">
      <c r="A5599" s="6">
        <v>43941</v>
      </c>
      <c r="B5599">
        <v>1.4227E-4</v>
      </c>
    </row>
    <row r="5600" spans="1:2" x14ac:dyDescent="0.25">
      <c r="A5600" s="6">
        <v>43943</v>
      </c>
      <c r="B5600">
        <v>1.4227E-4</v>
      </c>
    </row>
    <row r="5601" spans="1:2" x14ac:dyDescent="0.25">
      <c r="A5601" s="6">
        <v>43944</v>
      </c>
      <c r="B5601">
        <v>1.4227E-4</v>
      </c>
    </row>
    <row r="5602" spans="1:2" x14ac:dyDescent="0.25">
      <c r="A5602" s="6">
        <v>43945</v>
      </c>
      <c r="B5602">
        <v>1.4227E-4</v>
      </c>
    </row>
    <row r="5603" spans="1:2" x14ac:dyDescent="0.25">
      <c r="A5603" s="6">
        <v>43948</v>
      </c>
      <c r="B5603">
        <v>1.4227E-4</v>
      </c>
    </row>
    <row r="5604" spans="1:2" x14ac:dyDescent="0.25">
      <c r="A5604" s="6">
        <v>43949</v>
      </c>
      <c r="B5604">
        <v>1.4227E-4</v>
      </c>
    </row>
    <row r="5605" spans="1:2" x14ac:dyDescent="0.25">
      <c r="A5605" s="6">
        <v>43950</v>
      </c>
      <c r="B5605">
        <v>1.4227E-4</v>
      </c>
    </row>
    <row r="5606" spans="1:2" x14ac:dyDescent="0.25">
      <c r="A5606" s="6">
        <v>43951</v>
      </c>
      <c r="B5606">
        <v>1.4227E-4</v>
      </c>
    </row>
    <row r="5607" spans="1:2" x14ac:dyDescent="0.25">
      <c r="A5607" s="6">
        <v>43955</v>
      </c>
      <c r="B5607">
        <v>1.4227E-4</v>
      </c>
    </row>
    <row r="5608" spans="1:2" x14ac:dyDescent="0.25">
      <c r="A5608" s="6">
        <v>43956</v>
      </c>
      <c r="B5608">
        <v>1.4227E-4</v>
      </c>
    </row>
    <row r="5609" spans="1:2" x14ac:dyDescent="0.25">
      <c r="A5609" s="6">
        <v>43957</v>
      </c>
      <c r="B5609">
        <v>1.4227E-4</v>
      </c>
    </row>
    <row r="5610" spans="1:2" x14ac:dyDescent="0.25">
      <c r="A5610" s="6">
        <v>43958</v>
      </c>
      <c r="B5610">
        <v>1.1344999999999999E-4</v>
      </c>
    </row>
    <row r="5611" spans="1:2" x14ac:dyDescent="0.25">
      <c r="A5611" s="6">
        <v>43959</v>
      </c>
      <c r="B5611">
        <v>1.1344999999999999E-4</v>
      </c>
    </row>
    <row r="5612" spans="1:2" x14ac:dyDescent="0.25">
      <c r="A5612" s="6">
        <v>43962</v>
      </c>
      <c r="B5612">
        <v>1.1344999999999999E-4</v>
      </c>
    </row>
    <row r="5613" spans="1:2" x14ac:dyDescent="0.25">
      <c r="A5613" s="6">
        <v>43963</v>
      </c>
      <c r="B5613">
        <v>1.1344999999999999E-4</v>
      </c>
    </row>
    <row r="5614" spans="1:2" x14ac:dyDescent="0.25">
      <c r="A5614" s="6">
        <v>43964</v>
      </c>
      <c r="B5614">
        <v>1.1344999999999999E-4</v>
      </c>
    </row>
    <row r="5615" spans="1:2" x14ac:dyDescent="0.25">
      <c r="A5615" s="6">
        <v>43965</v>
      </c>
      <c r="B5615">
        <v>1.1344999999999999E-4</v>
      </c>
    </row>
    <row r="5616" spans="1:2" x14ac:dyDescent="0.25">
      <c r="A5616" s="6">
        <v>43966</v>
      </c>
      <c r="B5616">
        <v>1.1344999999999999E-4</v>
      </c>
    </row>
    <row r="5617" spans="1:2" x14ac:dyDescent="0.25">
      <c r="A5617" s="6">
        <v>43969</v>
      </c>
      <c r="B5617">
        <v>1.1344999999999999E-4</v>
      </c>
    </row>
    <row r="5618" spans="1:2" x14ac:dyDescent="0.25">
      <c r="A5618" s="6">
        <v>43970</v>
      </c>
      <c r="B5618">
        <v>1.1344999999999999E-4</v>
      </c>
    </row>
    <row r="5619" spans="1:2" x14ac:dyDescent="0.25">
      <c r="A5619" s="6">
        <v>43971</v>
      </c>
      <c r="B5619">
        <v>1.1344999999999999E-4</v>
      </c>
    </row>
    <row r="5620" spans="1:2" x14ac:dyDescent="0.25">
      <c r="A5620" s="6">
        <v>43972</v>
      </c>
      <c r="B5620">
        <v>1.1344999999999999E-4</v>
      </c>
    </row>
    <row r="5621" spans="1:2" x14ac:dyDescent="0.25">
      <c r="A5621" s="6">
        <v>43973</v>
      </c>
      <c r="B5621">
        <v>1.1344999999999999E-4</v>
      </c>
    </row>
    <row r="5622" spans="1:2" x14ac:dyDescent="0.25">
      <c r="A5622" s="6">
        <v>43976</v>
      </c>
      <c r="B5622">
        <v>1.1344999999999999E-4</v>
      </c>
    </row>
    <row r="5623" spans="1:2" x14ac:dyDescent="0.25">
      <c r="A5623" s="6">
        <v>43977</v>
      </c>
      <c r="B5623">
        <v>1.1344999999999999E-4</v>
      </c>
    </row>
    <row r="5624" spans="1:2" x14ac:dyDescent="0.25">
      <c r="A5624" s="6">
        <v>43978</v>
      </c>
      <c r="B5624">
        <v>1.1344999999999999E-4</v>
      </c>
    </row>
    <row r="5625" spans="1:2" x14ac:dyDescent="0.25">
      <c r="A5625" s="6">
        <v>43979</v>
      </c>
      <c r="B5625">
        <v>1.1344999999999999E-4</v>
      </c>
    </row>
    <row r="5626" spans="1:2" x14ac:dyDescent="0.25">
      <c r="A5626" s="6">
        <v>43980</v>
      </c>
      <c r="B5626">
        <v>1.1344999999999999E-4</v>
      </c>
    </row>
    <row r="5627" spans="1:2" x14ac:dyDescent="0.25">
      <c r="A5627" s="6">
        <v>43983</v>
      </c>
      <c r="B5627">
        <v>1.1344999999999999E-4</v>
      </c>
    </row>
    <row r="5628" spans="1:2" x14ac:dyDescent="0.25">
      <c r="A5628" s="6">
        <v>43984</v>
      </c>
      <c r="B5628">
        <v>1.1344999999999999E-4</v>
      </c>
    </row>
    <row r="5629" spans="1:2" x14ac:dyDescent="0.25">
      <c r="A5629" s="6">
        <v>43985</v>
      </c>
      <c r="B5629">
        <v>1.1344999999999999E-4</v>
      </c>
    </row>
    <row r="5630" spans="1:2" x14ac:dyDescent="0.25">
      <c r="A5630" s="6">
        <v>43986</v>
      </c>
      <c r="B5630">
        <v>1.1344999999999999E-4</v>
      </c>
    </row>
    <row r="5631" spans="1:2" x14ac:dyDescent="0.25">
      <c r="A5631" s="6">
        <v>43987</v>
      </c>
      <c r="B5631">
        <v>1.1344999999999999E-4</v>
      </c>
    </row>
    <row r="5632" spans="1:2" x14ac:dyDescent="0.25">
      <c r="A5632" s="6">
        <v>43990</v>
      </c>
      <c r="B5632">
        <v>1.1344999999999999E-4</v>
      </c>
    </row>
    <row r="5633" spans="1:2" x14ac:dyDescent="0.25">
      <c r="A5633" s="6">
        <v>43991</v>
      </c>
      <c r="B5633">
        <v>1.1344999999999999E-4</v>
      </c>
    </row>
    <row r="5634" spans="1:2" x14ac:dyDescent="0.25">
      <c r="A5634" s="6">
        <v>43992</v>
      </c>
      <c r="B5634">
        <v>1.1344999999999999E-4</v>
      </c>
    </row>
    <row r="5635" spans="1:2" x14ac:dyDescent="0.25">
      <c r="A5635" s="6">
        <v>43994</v>
      </c>
      <c r="B5635">
        <v>1.1344999999999999E-4</v>
      </c>
    </row>
    <row r="5636" spans="1:2" x14ac:dyDescent="0.25">
      <c r="A5636" s="6">
        <v>43997</v>
      </c>
      <c r="B5636">
        <v>1.1344999999999999E-4</v>
      </c>
    </row>
    <row r="5637" spans="1:2" x14ac:dyDescent="0.25">
      <c r="A5637" s="6">
        <v>43998</v>
      </c>
      <c r="B5637">
        <v>1.1344999999999999E-4</v>
      </c>
    </row>
    <row r="5638" spans="1:2" x14ac:dyDescent="0.25">
      <c r="A5638" s="6">
        <v>43999</v>
      </c>
      <c r="B5638">
        <v>1.1344999999999999E-4</v>
      </c>
    </row>
    <row r="5639" spans="1:2" x14ac:dyDescent="0.25">
      <c r="A5639" s="6">
        <v>44000</v>
      </c>
      <c r="B5639">
        <v>8.4419999999999995E-5</v>
      </c>
    </row>
    <row r="5640" spans="1:2" x14ac:dyDescent="0.25">
      <c r="A5640" s="6">
        <v>44001</v>
      </c>
      <c r="B5640">
        <v>8.4419999999999995E-5</v>
      </c>
    </row>
    <row r="5641" spans="1:2" x14ac:dyDescent="0.25">
      <c r="A5641" s="6">
        <v>44004</v>
      </c>
      <c r="B5641">
        <v>8.4419999999999995E-5</v>
      </c>
    </row>
    <row r="5642" spans="1:2" x14ac:dyDescent="0.25">
      <c r="A5642" s="6">
        <v>44005</v>
      </c>
      <c r="B5642">
        <v>8.4419999999999995E-5</v>
      </c>
    </row>
    <row r="5643" spans="1:2" x14ac:dyDescent="0.25">
      <c r="A5643" s="6">
        <v>44006</v>
      </c>
      <c r="B5643">
        <v>8.4419999999999995E-5</v>
      </c>
    </row>
    <row r="5644" spans="1:2" x14ac:dyDescent="0.25">
      <c r="A5644" s="6">
        <v>44007</v>
      </c>
      <c r="B5644">
        <v>8.4419999999999995E-5</v>
      </c>
    </row>
    <row r="5645" spans="1:2" x14ac:dyDescent="0.25">
      <c r="A5645" s="6">
        <v>44008</v>
      </c>
      <c r="B5645">
        <v>8.4419999999999995E-5</v>
      </c>
    </row>
    <row r="5646" spans="1:2" x14ac:dyDescent="0.25">
      <c r="A5646" s="6">
        <v>44011</v>
      </c>
      <c r="B5646">
        <v>8.4419999999999995E-5</v>
      </c>
    </row>
    <row r="5647" spans="1:2" x14ac:dyDescent="0.25">
      <c r="A5647" s="6">
        <v>44012</v>
      </c>
      <c r="B5647">
        <v>8.4419999999999995E-5</v>
      </c>
    </row>
    <row r="5648" spans="1:2" x14ac:dyDescent="0.25">
      <c r="A5648" s="6">
        <v>44013</v>
      </c>
      <c r="B5648">
        <v>8.4419999999999995E-5</v>
      </c>
    </row>
    <row r="5649" spans="1:2" x14ac:dyDescent="0.25">
      <c r="A5649" s="6">
        <v>44014</v>
      </c>
      <c r="B5649">
        <v>8.4419999999999995E-5</v>
      </c>
    </row>
    <row r="5650" spans="1:2" x14ac:dyDescent="0.25">
      <c r="A5650" s="6">
        <v>44015</v>
      </c>
      <c r="B5650">
        <v>8.4419999999999995E-5</v>
      </c>
    </row>
    <row r="5651" spans="1:2" x14ac:dyDescent="0.25">
      <c r="A5651" s="6">
        <v>44018</v>
      </c>
      <c r="B5651">
        <v>8.4419999999999995E-5</v>
      </c>
    </row>
    <row r="5652" spans="1:2" x14ac:dyDescent="0.25">
      <c r="A5652" s="6">
        <v>44019</v>
      </c>
      <c r="B5652">
        <v>8.4419999999999995E-5</v>
      </c>
    </row>
    <row r="5653" spans="1:2" x14ac:dyDescent="0.25">
      <c r="A5653" s="6">
        <v>44020</v>
      </c>
      <c r="B5653">
        <v>8.4419999999999995E-5</v>
      </c>
    </row>
    <row r="5654" spans="1:2" x14ac:dyDescent="0.25">
      <c r="A5654" s="6">
        <v>44021</v>
      </c>
      <c r="B5654">
        <v>8.4419999999999995E-5</v>
      </c>
    </row>
    <row r="5655" spans="1:2" x14ac:dyDescent="0.25">
      <c r="A5655" s="6">
        <v>44022</v>
      </c>
      <c r="B5655">
        <v>8.4419999999999995E-5</v>
      </c>
    </row>
    <row r="5656" spans="1:2" x14ac:dyDescent="0.25">
      <c r="A5656" s="6">
        <v>44025</v>
      </c>
      <c r="B5656">
        <v>8.4419999999999995E-5</v>
      </c>
    </row>
    <row r="5657" spans="1:2" x14ac:dyDescent="0.25">
      <c r="A5657" s="6">
        <v>44026</v>
      </c>
      <c r="B5657">
        <v>8.4419999999999995E-5</v>
      </c>
    </row>
    <row r="5658" spans="1:2" x14ac:dyDescent="0.25">
      <c r="A5658" s="6">
        <v>44027</v>
      </c>
      <c r="B5658">
        <v>8.4419999999999995E-5</v>
      </c>
    </row>
    <row r="5659" spans="1:2" x14ac:dyDescent="0.25">
      <c r="A5659" s="6">
        <v>44028</v>
      </c>
      <c r="B5659">
        <v>8.4419999999999995E-5</v>
      </c>
    </row>
    <row r="5660" spans="1:2" x14ac:dyDescent="0.25">
      <c r="A5660" s="6">
        <v>44029</v>
      </c>
      <c r="B5660">
        <v>8.4419999999999995E-5</v>
      </c>
    </row>
    <row r="5661" spans="1:2" x14ac:dyDescent="0.25">
      <c r="A5661" s="6">
        <v>44032</v>
      </c>
      <c r="B5661">
        <v>8.4419999999999995E-5</v>
      </c>
    </row>
    <row r="5662" spans="1:2" x14ac:dyDescent="0.25">
      <c r="A5662" s="6">
        <v>44033</v>
      </c>
      <c r="B5662">
        <v>8.4419999999999995E-5</v>
      </c>
    </row>
    <row r="5663" spans="1:2" x14ac:dyDescent="0.25">
      <c r="A5663" s="6">
        <v>44034</v>
      </c>
      <c r="B5663">
        <v>8.4419999999999995E-5</v>
      </c>
    </row>
    <row r="5664" spans="1:2" x14ac:dyDescent="0.25">
      <c r="A5664" s="6">
        <v>44035</v>
      </c>
      <c r="B5664">
        <v>8.4419999999999995E-5</v>
      </c>
    </row>
    <row r="5665" spans="1:2" x14ac:dyDescent="0.25">
      <c r="A5665" s="6">
        <v>44036</v>
      </c>
      <c r="B5665">
        <v>8.4419999999999995E-5</v>
      </c>
    </row>
    <row r="5666" spans="1:2" x14ac:dyDescent="0.25">
      <c r="A5666" s="6">
        <v>44039</v>
      </c>
      <c r="B5666">
        <v>8.4419999999999995E-5</v>
      </c>
    </row>
    <row r="5667" spans="1:2" x14ac:dyDescent="0.25">
      <c r="A5667" s="6">
        <v>44040</v>
      </c>
      <c r="B5667">
        <v>8.4419999999999995E-5</v>
      </c>
    </row>
    <row r="5668" spans="1:2" x14ac:dyDescent="0.25">
      <c r="A5668" s="6">
        <v>44041</v>
      </c>
      <c r="B5668">
        <v>8.4419999999999995E-5</v>
      </c>
    </row>
    <row r="5669" spans="1:2" x14ac:dyDescent="0.25">
      <c r="A5669" s="6">
        <v>44042</v>
      </c>
      <c r="B5669">
        <v>8.4419999999999995E-5</v>
      </c>
    </row>
    <row r="5670" spans="1:2" x14ac:dyDescent="0.25">
      <c r="A5670" s="6">
        <v>44043</v>
      </c>
      <c r="B5670">
        <v>8.4419999999999995E-5</v>
      </c>
    </row>
    <row r="5671" spans="1:2" x14ac:dyDescent="0.25">
      <c r="A5671" s="6">
        <v>44046</v>
      </c>
      <c r="B5671">
        <v>8.4419999999999995E-5</v>
      </c>
    </row>
    <row r="5672" spans="1:2" x14ac:dyDescent="0.25">
      <c r="A5672" s="6">
        <v>44047</v>
      </c>
      <c r="B5672">
        <v>8.4419999999999995E-5</v>
      </c>
    </row>
    <row r="5673" spans="1:2" x14ac:dyDescent="0.25">
      <c r="A5673" s="6">
        <v>44048</v>
      </c>
      <c r="B5673">
        <v>8.4419999999999995E-5</v>
      </c>
    </row>
    <row r="5674" spans="1:2" x14ac:dyDescent="0.25">
      <c r="A5674" s="6">
        <v>44049</v>
      </c>
      <c r="B5674">
        <v>7.4690000000000005E-5</v>
      </c>
    </row>
    <row r="5675" spans="1:2" x14ac:dyDescent="0.25">
      <c r="A5675" s="6">
        <v>44050</v>
      </c>
      <c r="B5675">
        <v>7.4690000000000005E-5</v>
      </c>
    </row>
    <row r="5676" spans="1:2" x14ac:dyDescent="0.25">
      <c r="A5676" s="6">
        <v>44053</v>
      </c>
      <c r="B5676">
        <v>7.4690000000000005E-5</v>
      </c>
    </row>
    <row r="5677" spans="1:2" x14ac:dyDescent="0.25">
      <c r="A5677" s="6">
        <v>44054</v>
      </c>
      <c r="B5677">
        <v>7.4690000000000005E-5</v>
      </c>
    </row>
    <row r="5678" spans="1:2" x14ac:dyDescent="0.25">
      <c r="A5678" s="6">
        <v>44055</v>
      </c>
      <c r="B5678">
        <v>7.4690000000000005E-5</v>
      </c>
    </row>
    <row r="5679" spans="1:2" x14ac:dyDescent="0.25">
      <c r="A5679" s="6">
        <v>44056</v>
      </c>
      <c r="B5679">
        <v>7.4690000000000005E-5</v>
      </c>
    </row>
    <row r="5680" spans="1:2" x14ac:dyDescent="0.25">
      <c r="A5680" s="6">
        <v>44057</v>
      </c>
      <c r="B5680">
        <v>7.4690000000000005E-5</v>
      </c>
    </row>
    <row r="5681" spans="1:2" x14ac:dyDescent="0.25">
      <c r="A5681" s="6">
        <v>44060</v>
      </c>
      <c r="B5681">
        <v>7.4690000000000005E-5</v>
      </c>
    </row>
    <row r="5682" spans="1:2" x14ac:dyDescent="0.25">
      <c r="A5682" s="6">
        <v>44061</v>
      </c>
      <c r="B5682">
        <v>7.4690000000000005E-5</v>
      </c>
    </row>
    <row r="5683" spans="1:2" x14ac:dyDescent="0.25">
      <c r="A5683" s="6">
        <v>44062</v>
      </c>
      <c r="B5683">
        <v>7.4690000000000005E-5</v>
      </c>
    </row>
    <row r="5684" spans="1:2" x14ac:dyDescent="0.25">
      <c r="A5684" s="6">
        <v>44063</v>
      </c>
      <c r="B5684">
        <v>7.4690000000000005E-5</v>
      </c>
    </row>
    <row r="5685" spans="1:2" x14ac:dyDescent="0.25">
      <c r="A5685" s="6">
        <v>44064</v>
      </c>
      <c r="B5685">
        <v>7.4690000000000005E-5</v>
      </c>
    </row>
    <row r="5686" spans="1:2" x14ac:dyDescent="0.25">
      <c r="A5686" s="6">
        <v>44067</v>
      </c>
      <c r="B5686">
        <v>7.4690000000000005E-5</v>
      </c>
    </row>
    <row r="5687" spans="1:2" x14ac:dyDescent="0.25">
      <c r="A5687" s="6">
        <v>44068</v>
      </c>
      <c r="B5687">
        <v>7.4690000000000005E-5</v>
      </c>
    </row>
    <row r="5688" spans="1:2" x14ac:dyDescent="0.25">
      <c r="A5688" s="6">
        <v>44069</v>
      </c>
      <c r="B5688">
        <v>7.4690000000000005E-5</v>
      </c>
    </row>
    <row r="5689" spans="1:2" x14ac:dyDescent="0.25">
      <c r="A5689" s="6">
        <v>44070</v>
      </c>
      <c r="B5689">
        <v>7.4690000000000005E-5</v>
      </c>
    </row>
    <row r="5690" spans="1:2" x14ac:dyDescent="0.25">
      <c r="A5690" s="6">
        <v>44071</v>
      </c>
      <c r="B5690">
        <v>7.4690000000000005E-5</v>
      </c>
    </row>
    <row r="5691" spans="1:2" x14ac:dyDescent="0.25">
      <c r="A5691" s="6">
        <v>44074</v>
      </c>
      <c r="B5691">
        <v>7.4690000000000005E-5</v>
      </c>
    </row>
    <row r="5692" spans="1:2" x14ac:dyDescent="0.25">
      <c r="A5692" s="6">
        <v>44075</v>
      </c>
      <c r="B5692">
        <v>7.4690000000000005E-5</v>
      </c>
    </row>
    <row r="5693" spans="1:2" x14ac:dyDescent="0.25">
      <c r="A5693" s="6">
        <v>44076</v>
      </c>
      <c r="B5693">
        <v>7.4690000000000005E-5</v>
      </c>
    </row>
    <row r="5694" spans="1:2" x14ac:dyDescent="0.25">
      <c r="A5694" s="6">
        <v>44077</v>
      </c>
      <c r="B5694">
        <v>7.4690000000000005E-5</v>
      </c>
    </row>
    <row r="5695" spans="1:2" x14ac:dyDescent="0.25">
      <c r="A5695" s="6">
        <v>44078</v>
      </c>
      <c r="B5695">
        <v>7.4690000000000005E-5</v>
      </c>
    </row>
    <row r="5696" spans="1:2" x14ac:dyDescent="0.25">
      <c r="A5696" s="6">
        <v>44082</v>
      </c>
      <c r="B5696">
        <v>7.4690000000000005E-5</v>
      </c>
    </row>
    <row r="5697" spans="1:2" x14ac:dyDescent="0.25">
      <c r="A5697" s="6">
        <v>44083</v>
      </c>
      <c r="B5697">
        <v>7.4690000000000005E-5</v>
      </c>
    </row>
    <row r="5698" spans="1:2" x14ac:dyDescent="0.25">
      <c r="A5698" s="6">
        <v>44084</v>
      </c>
      <c r="B5698">
        <v>7.4690000000000005E-5</v>
      </c>
    </row>
    <row r="5699" spans="1:2" x14ac:dyDescent="0.25">
      <c r="A5699" s="6">
        <v>44085</v>
      </c>
      <c r="B5699">
        <v>7.4690000000000005E-5</v>
      </c>
    </row>
    <row r="5700" spans="1:2" x14ac:dyDescent="0.25">
      <c r="A5700" s="6">
        <v>44088</v>
      </c>
      <c r="B5700">
        <v>7.4690000000000005E-5</v>
      </c>
    </row>
    <row r="5701" spans="1:2" x14ac:dyDescent="0.25">
      <c r="A5701" s="6">
        <v>44089</v>
      </c>
      <c r="B5701">
        <v>7.4690000000000005E-5</v>
      </c>
    </row>
    <row r="5702" spans="1:2" x14ac:dyDescent="0.25">
      <c r="A5702" s="6">
        <v>44090</v>
      </c>
      <c r="B5702">
        <v>7.4690000000000005E-5</v>
      </c>
    </row>
    <row r="5703" spans="1:2" x14ac:dyDescent="0.25">
      <c r="A5703" s="6">
        <v>44091</v>
      </c>
      <c r="B5703">
        <v>7.4690000000000005E-5</v>
      </c>
    </row>
    <row r="5704" spans="1:2" x14ac:dyDescent="0.25">
      <c r="A5704" s="6">
        <v>44092</v>
      </c>
      <c r="B5704">
        <v>7.4690000000000005E-5</v>
      </c>
    </row>
    <row r="5705" spans="1:2" x14ac:dyDescent="0.25">
      <c r="A5705" s="6">
        <v>44095</v>
      </c>
      <c r="B5705">
        <v>7.4690000000000005E-5</v>
      </c>
    </row>
    <row r="5706" spans="1:2" x14ac:dyDescent="0.25">
      <c r="A5706" s="6">
        <v>44096</v>
      </c>
      <c r="B5706">
        <v>7.4690000000000005E-5</v>
      </c>
    </row>
    <row r="5707" spans="1:2" x14ac:dyDescent="0.25">
      <c r="A5707" s="6">
        <v>44097</v>
      </c>
      <c r="B5707">
        <v>7.4690000000000005E-5</v>
      </c>
    </row>
    <row r="5708" spans="1:2" x14ac:dyDescent="0.25">
      <c r="A5708" s="6">
        <v>44098</v>
      </c>
      <c r="B5708">
        <v>7.4690000000000005E-5</v>
      </c>
    </row>
    <row r="5709" spans="1:2" x14ac:dyDescent="0.25">
      <c r="A5709" s="6">
        <v>44099</v>
      </c>
      <c r="B5709">
        <v>7.4690000000000005E-5</v>
      </c>
    </row>
    <row r="5710" spans="1:2" x14ac:dyDescent="0.25">
      <c r="A5710" s="6">
        <v>44102</v>
      </c>
      <c r="B5710">
        <v>7.4690000000000005E-5</v>
      </c>
    </row>
    <row r="5711" spans="1:2" x14ac:dyDescent="0.25">
      <c r="A5711" s="6">
        <v>44103</v>
      </c>
      <c r="B5711">
        <v>7.4690000000000005E-5</v>
      </c>
    </row>
    <row r="5712" spans="1:2" x14ac:dyDescent="0.25">
      <c r="A5712" s="6">
        <v>44104</v>
      </c>
      <c r="B5712">
        <v>7.4690000000000005E-5</v>
      </c>
    </row>
    <row r="5713" spans="1:2" x14ac:dyDescent="0.25">
      <c r="A5713" s="6">
        <v>44105</v>
      </c>
      <c r="B5713">
        <v>7.4690000000000005E-5</v>
      </c>
    </row>
    <row r="5714" spans="1:2" x14ac:dyDescent="0.25">
      <c r="A5714" s="6">
        <v>44106</v>
      </c>
      <c r="B5714">
        <v>7.4690000000000005E-5</v>
      </c>
    </row>
    <row r="5715" spans="1:2" x14ac:dyDescent="0.25">
      <c r="A5715" s="6">
        <v>44109</v>
      </c>
      <c r="B5715">
        <v>7.4690000000000005E-5</v>
      </c>
    </row>
    <row r="5716" spans="1:2" x14ac:dyDescent="0.25">
      <c r="A5716" s="6">
        <v>44110</v>
      </c>
      <c r="B5716">
        <v>7.4690000000000005E-5</v>
      </c>
    </row>
    <row r="5717" spans="1:2" x14ac:dyDescent="0.25">
      <c r="A5717" s="6">
        <v>44111</v>
      </c>
      <c r="B5717">
        <v>7.4690000000000005E-5</v>
      </c>
    </row>
    <row r="5718" spans="1:2" x14ac:dyDescent="0.25">
      <c r="A5718" s="6">
        <v>44112</v>
      </c>
      <c r="B5718">
        <v>7.4690000000000005E-5</v>
      </c>
    </row>
    <row r="5719" spans="1:2" x14ac:dyDescent="0.25">
      <c r="A5719" s="6">
        <v>44113</v>
      </c>
      <c r="B5719">
        <v>7.4690000000000005E-5</v>
      </c>
    </row>
    <row r="5720" spans="1:2" x14ac:dyDescent="0.25">
      <c r="A5720" s="6">
        <v>44117</v>
      </c>
      <c r="B5720">
        <v>7.4690000000000005E-5</v>
      </c>
    </row>
    <row r="5721" spans="1:2" x14ac:dyDescent="0.25">
      <c r="A5721" s="6">
        <v>44118</v>
      </c>
      <c r="B5721">
        <v>7.4690000000000005E-5</v>
      </c>
    </row>
    <row r="5722" spans="1:2" x14ac:dyDescent="0.25">
      <c r="A5722" s="6">
        <v>44119</v>
      </c>
      <c r="B5722">
        <v>7.4690000000000005E-5</v>
      </c>
    </row>
    <row r="5723" spans="1:2" x14ac:dyDescent="0.25">
      <c r="A5723" s="6">
        <v>44120</v>
      </c>
      <c r="B5723">
        <v>7.4690000000000005E-5</v>
      </c>
    </row>
    <row r="5724" spans="1:2" x14ac:dyDescent="0.25">
      <c r="A5724" s="6">
        <v>44123</v>
      </c>
      <c r="B5724">
        <v>7.4690000000000005E-5</v>
      </c>
    </row>
    <row r="5725" spans="1:2" x14ac:dyDescent="0.25">
      <c r="A5725" s="6">
        <v>44124</v>
      </c>
      <c r="B5725">
        <v>7.4690000000000005E-5</v>
      </c>
    </row>
    <row r="5726" spans="1:2" x14ac:dyDescent="0.25">
      <c r="A5726" s="6">
        <v>44125</v>
      </c>
      <c r="B5726">
        <v>7.4690000000000005E-5</v>
      </c>
    </row>
    <row r="5727" spans="1:2" x14ac:dyDescent="0.25">
      <c r="A5727" s="6">
        <v>44126</v>
      </c>
      <c r="B5727">
        <v>7.4690000000000005E-5</v>
      </c>
    </row>
    <row r="5728" spans="1:2" x14ac:dyDescent="0.25">
      <c r="A5728" s="6">
        <v>44127</v>
      </c>
      <c r="B5728">
        <v>7.4690000000000005E-5</v>
      </c>
    </row>
    <row r="5729" spans="1:2" x14ac:dyDescent="0.25">
      <c r="A5729" s="6">
        <v>44130</v>
      </c>
      <c r="B5729">
        <v>7.4690000000000005E-5</v>
      </c>
    </row>
    <row r="5730" spans="1:2" x14ac:dyDescent="0.25">
      <c r="A5730" s="6">
        <v>44131</v>
      </c>
      <c r="B5730">
        <v>7.4690000000000005E-5</v>
      </c>
    </row>
    <row r="5731" spans="1:2" x14ac:dyDescent="0.25">
      <c r="A5731" s="6">
        <v>44132</v>
      </c>
      <c r="B5731">
        <v>7.4690000000000005E-5</v>
      </c>
    </row>
    <row r="5732" spans="1:2" x14ac:dyDescent="0.25">
      <c r="A5732" s="6">
        <v>44133</v>
      </c>
      <c r="B5732">
        <v>7.4690000000000005E-5</v>
      </c>
    </row>
    <row r="5733" spans="1:2" x14ac:dyDescent="0.25">
      <c r="A5733" s="6">
        <v>44134</v>
      </c>
      <c r="B5733">
        <v>7.4690000000000005E-5</v>
      </c>
    </row>
    <row r="5734" spans="1:2" x14ac:dyDescent="0.25">
      <c r="A5734" s="6">
        <v>44138</v>
      </c>
      <c r="B5734">
        <v>7.4690000000000005E-5</v>
      </c>
    </row>
    <row r="5735" spans="1:2" x14ac:dyDescent="0.25">
      <c r="A5735" s="6">
        <v>44139</v>
      </c>
      <c r="B5735">
        <v>7.4690000000000005E-5</v>
      </c>
    </row>
    <row r="5736" spans="1:2" x14ac:dyDescent="0.25">
      <c r="A5736" s="6">
        <v>44140</v>
      </c>
      <c r="B5736">
        <v>7.4690000000000005E-5</v>
      </c>
    </row>
    <row r="5737" spans="1:2" x14ac:dyDescent="0.25">
      <c r="A5737" s="6">
        <v>44141</v>
      </c>
      <c r="B5737">
        <v>7.4690000000000005E-5</v>
      </c>
    </row>
    <row r="5738" spans="1:2" x14ac:dyDescent="0.25">
      <c r="A5738" s="6">
        <v>44144</v>
      </c>
      <c r="B5738">
        <v>7.4690000000000005E-5</v>
      </c>
    </row>
    <row r="5739" spans="1:2" x14ac:dyDescent="0.25">
      <c r="A5739" s="6">
        <v>44145</v>
      </c>
      <c r="B5739">
        <v>7.4690000000000005E-5</v>
      </c>
    </row>
    <row r="5740" spans="1:2" x14ac:dyDescent="0.25">
      <c r="A5740" s="6">
        <v>44146</v>
      </c>
      <c r="B5740">
        <v>7.4690000000000005E-5</v>
      </c>
    </row>
    <row r="5741" spans="1:2" x14ac:dyDescent="0.25">
      <c r="A5741" s="6">
        <v>44147</v>
      </c>
      <c r="B5741">
        <v>7.4690000000000005E-5</v>
      </c>
    </row>
    <row r="5742" spans="1:2" x14ac:dyDescent="0.25">
      <c r="A5742" s="6">
        <v>44148</v>
      </c>
      <c r="B5742">
        <v>7.4690000000000005E-5</v>
      </c>
    </row>
    <row r="5743" spans="1:2" x14ac:dyDescent="0.25">
      <c r="A5743" s="6">
        <v>44151</v>
      </c>
      <c r="B5743">
        <v>7.4690000000000005E-5</v>
      </c>
    </row>
    <row r="5744" spans="1:2" x14ac:dyDescent="0.25">
      <c r="A5744" s="6">
        <v>44152</v>
      </c>
      <c r="B5744">
        <v>7.4690000000000005E-5</v>
      </c>
    </row>
    <row r="5745" spans="1:2" x14ac:dyDescent="0.25">
      <c r="A5745" s="6">
        <v>44153</v>
      </c>
      <c r="B5745">
        <v>7.4690000000000005E-5</v>
      </c>
    </row>
    <row r="5746" spans="1:2" x14ac:dyDescent="0.25">
      <c r="A5746" s="6">
        <v>44154</v>
      </c>
      <c r="B5746">
        <v>7.4690000000000005E-5</v>
      </c>
    </row>
    <row r="5747" spans="1:2" x14ac:dyDescent="0.25">
      <c r="A5747" s="6">
        <v>44155</v>
      </c>
      <c r="B5747">
        <v>7.4690000000000005E-5</v>
      </c>
    </row>
    <row r="5748" spans="1:2" x14ac:dyDescent="0.25">
      <c r="A5748" s="6">
        <v>44158</v>
      </c>
      <c r="B5748">
        <v>7.4690000000000005E-5</v>
      </c>
    </row>
    <row r="5749" spans="1:2" x14ac:dyDescent="0.25">
      <c r="A5749" s="6">
        <v>44159</v>
      </c>
      <c r="B5749">
        <v>7.4690000000000005E-5</v>
      </c>
    </row>
    <row r="5750" spans="1:2" x14ac:dyDescent="0.25">
      <c r="A5750" s="6">
        <v>44160</v>
      </c>
      <c r="B5750">
        <v>7.4690000000000005E-5</v>
      </c>
    </row>
    <row r="5751" spans="1:2" x14ac:dyDescent="0.25">
      <c r="A5751" s="6">
        <v>44161</v>
      </c>
      <c r="B5751">
        <v>7.4690000000000005E-5</v>
      </c>
    </row>
    <row r="5752" spans="1:2" x14ac:dyDescent="0.25">
      <c r="A5752" s="6">
        <v>44162</v>
      </c>
      <c r="B5752">
        <v>7.4690000000000005E-5</v>
      </c>
    </row>
    <row r="5753" spans="1:2" x14ac:dyDescent="0.25">
      <c r="A5753" s="6">
        <v>44165</v>
      </c>
      <c r="B5753">
        <v>7.4690000000000005E-5</v>
      </c>
    </row>
    <row r="5754" spans="1:2" x14ac:dyDescent="0.25">
      <c r="A5754" s="6">
        <v>44166</v>
      </c>
      <c r="B5754">
        <v>7.4690000000000005E-5</v>
      </c>
    </row>
    <row r="5755" spans="1:2" x14ac:dyDescent="0.25">
      <c r="A5755" s="6">
        <v>44167</v>
      </c>
      <c r="B5755">
        <v>7.4690000000000005E-5</v>
      </c>
    </row>
    <row r="5756" spans="1:2" x14ac:dyDescent="0.25">
      <c r="A5756" s="6">
        <v>44168</v>
      </c>
      <c r="B5756">
        <v>7.4690000000000005E-5</v>
      </c>
    </row>
    <row r="5757" spans="1:2" x14ac:dyDescent="0.25">
      <c r="A5757" s="6">
        <v>44169</v>
      </c>
      <c r="B5757">
        <v>7.4690000000000005E-5</v>
      </c>
    </row>
    <row r="5758" spans="1:2" x14ac:dyDescent="0.25">
      <c r="A5758" s="6">
        <v>44172</v>
      </c>
      <c r="B5758">
        <v>7.4690000000000005E-5</v>
      </c>
    </row>
    <row r="5759" spans="1:2" x14ac:dyDescent="0.25">
      <c r="A5759" s="6">
        <v>44173</v>
      </c>
      <c r="B5759">
        <v>7.4690000000000005E-5</v>
      </c>
    </row>
    <row r="5760" spans="1:2" x14ac:dyDescent="0.25">
      <c r="A5760" s="6">
        <v>44174</v>
      </c>
      <c r="B5760">
        <v>7.4690000000000005E-5</v>
      </c>
    </row>
    <row r="5761" spans="1:2" x14ac:dyDescent="0.25">
      <c r="A5761" s="6">
        <v>44175</v>
      </c>
      <c r="B5761">
        <v>7.4690000000000005E-5</v>
      </c>
    </row>
    <row r="5762" spans="1:2" x14ac:dyDescent="0.25">
      <c r="A5762" s="6">
        <v>44176</v>
      </c>
      <c r="B5762">
        <v>7.4690000000000005E-5</v>
      </c>
    </row>
    <row r="5763" spans="1:2" x14ac:dyDescent="0.25">
      <c r="A5763" s="6">
        <v>44179</v>
      </c>
      <c r="B5763">
        <v>7.4690000000000005E-5</v>
      </c>
    </row>
    <row r="5764" spans="1:2" x14ac:dyDescent="0.25">
      <c r="A5764" s="6">
        <v>44180</v>
      </c>
      <c r="B5764">
        <v>7.4690000000000005E-5</v>
      </c>
    </row>
    <row r="5765" spans="1:2" x14ac:dyDescent="0.25">
      <c r="A5765" s="6">
        <v>44181</v>
      </c>
      <c r="B5765">
        <v>7.4690000000000005E-5</v>
      </c>
    </row>
    <row r="5766" spans="1:2" x14ac:dyDescent="0.25">
      <c r="A5766" s="6">
        <v>44182</v>
      </c>
      <c r="B5766">
        <v>7.4690000000000005E-5</v>
      </c>
    </row>
    <row r="5767" spans="1:2" x14ac:dyDescent="0.25">
      <c r="A5767" s="6">
        <v>44183</v>
      </c>
      <c r="B5767">
        <v>7.4690000000000005E-5</v>
      </c>
    </row>
    <row r="5768" spans="1:2" x14ac:dyDescent="0.25">
      <c r="A5768" s="6">
        <v>44186</v>
      </c>
      <c r="B5768">
        <v>7.4690000000000005E-5</v>
      </c>
    </row>
    <row r="5769" spans="1:2" x14ac:dyDescent="0.25">
      <c r="A5769" s="6">
        <v>44187</v>
      </c>
      <c r="B5769">
        <v>7.4690000000000005E-5</v>
      </c>
    </row>
    <row r="5770" spans="1:2" x14ac:dyDescent="0.25">
      <c r="A5770" s="6">
        <v>44188</v>
      </c>
      <c r="B5770">
        <v>7.4690000000000005E-5</v>
      </c>
    </row>
    <row r="5771" spans="1:2" x14ac:dyDescent="0.25">
      <c r="A5771" s="6">
        <v>44189</v>
      </c>
      <c r="B5771">
        <v>7.4690000000000005E-5</v>
      </c>
    </row>
    <row r="5772" spans="1:2" x14ac:dyDescent="0.25">
      <c r="A5772" s="6">
        <v>44193</v>
      </c>
      <c r="B5772">
        <v>7.4690000000000005E-5</v>
      </c>
    </row>
    <row r="5773" spans="1:2" x14ac:dyDescent="0.25">
      <c r="A5773" s="6">
        <v>44194</v>
      </c>
      <c r="B5773">
        <v>7.4690000000000005E-5</v>
      </c>
    </row>
    <row r="5774" spans="1:2" x14ac:dyDescent="0.25">
      <c r="A5774" s="6">
        <v>44195</v>
      </c>
      <c r="B5774">
        <v>7.4690000000000005E-5</v>
      </c>
    </row>
    <row r="5775" spans="1:2" x14ac:dyDescent="0.25">
      <c r="A5775" s="6">
        <v>44196</v>
      </c>
      <c r="B5775">
        <v>7.4690000000000005E-5</v>
      </c>
    </row>
    <row r="5776" spans="1:2" x14ac:dyDescent="0.25">
      <c r="A5776" s="6">
        <v>44200</v>
      </c>
      <c r="B5776">
        <v>7.4690000000000005E-5</v>
      </c>
    </row>
    <row r="5777" spans="1:2" x14ac:dyDescent="0.25">
      <c r="A5777" s="6">
        <v>44201</v>
      </c>
      <c r="B5777">
        <v>7.4690000000000005E-5</v>
      </c>
    </row>
    <row r="5778" spans="1:2" x14ac:dyDescent="0.25">
      <c r="A5778" s="6">
        <v>44202</v>
      </c>
      <c r="B5778">
        <v>7.4690000000000005E-5</v>
      </c>
    </row>
    <row r="5779" spans="1:2" x14ac:dyDescent="0.25">
      <c r="A5779" s="6">
        <v>44203</v>
      </c>
      <c r="B5779">
        <v>7.4690000000000005E-5</v>
      </c>
    </row>
    <row r="5780" spans="1:2" x14ac:dyDescent="0.25">
      <c r="A5780" s="6">
        <v>44204</v>
      </c>
      <c r="B5780">
        <v>7.4690000000000005E-5</v>
      </c>
    </row>
    <row r="5781" spans="1:2" x14ac:dyDescent="0.25">
      <c r="A5781" s="6">
        <v>44207</v>
      </c>
      <c r="B5781">
        <v>7.4690000000000005E-5</v>
      </c>
    </row>
    <row r="5782" spans="1:2" x14ac:dyDescent="0.25">
      <c r="A5782" s="6">
        <v>44208</v>
      </c>
      <c r="B5782">
        <v>7.4690000000000005E-5</v>
      </c>
    </row>
    <row r="5783" spans="1:2" x14ac:dyDescent="0.25">
      <c r="A5783" s="6">
        <v>44209</v>
      </c>
      <c r="B5783">
        <v>7.4690000000000005E-5</v>
      </c>
    </row>
    <row r="5784" spans="1:2" x14ac:dyDescent="0.25">
      <c r="A5784" s="6">
        <v>44210</v>
      </c>
      <c r="B5784">
        <v>7.4690000000000005E-5</v>
      </c>
    </row>
    <row r="5785" spans="1:2" x14ac:dyDescent="0.25">
      <c r="A5785" s="6">
        <v>44211</v>
      </c>
      <c r="B5785">
        <v>7.4690000000000005E-5</v>
      </c>
    </row>
    <row r="5786" spans="1:2" x14ac:dyDescent="0.25">
      <c r="A5786" s="6">
        <v>44214</v>
      </c>
      <c r="B5786">
        <v>7.4690000000000005E-5</v>
      </c>
    </row>
    <row r="5787" spans="1:2" x14ac:dyDescent="0.25">
      <c r="A5787" s="6">
        <v>44215</v>
      </c>
      <c r="B5787">
        <v>7.4690000000000005E-5</v>
      </c>
    </row>
    <row r="5788" spans="1:2" x14ac:dyDescent="0.25">
      <c r="A5788" s="6">
        <v>44216</v>
      </c>
      <c r="B5788">
        <v>7.4690000000000005E-5</v>
      </c>
    </row>
    <row r="5789" spans="1:2" x14ac:dyDescent="0.25">
      <c r="A5789" s="6">
        <v>44217</v>
      </c>
      <c r="B5789">
        <v>7.4690000000000005E-5</v>
      </c>
    </row>
    <row r="5790" spans="1:2" x14ac:dyDescent="0.25">
      <c r="A5790" s="6">
        <v>44218</v>
      </c>
      <c r="B5790">
        <v>7.4690000000000005E-5</v>
      </c>
    </row>
    <row r="5791" spans="1:2" x14ac:dyDescent="0.25">
      <c r="A5791" s="6">
        <v>44221</v>
      </c>
      <c r="B5791">
        <v>7.4690000000000005E-5</v>
      </c>
    </row>
    <row r="5792" spans="1:2" x14ac:dyDescent="0.25">
      <c r="A5792" s="6">
        <v>44222</v>
      </c>
      <c r="B5792">
        <v>7.4690000000000005E-5</v>
      </c>
    </row>
    <row r="5793" spans="1:2" x14ac:dyDescent="0.25">
      <c r="A5793" s="6">
        <v>44223</v>
      </c>
      <c r="B5793">
        <v>7.4690000000000005E-5</v>
      </c>
    </row>
    <row r="5794" spans="1:2" x14ac:dyDescent="0.25">
      <c r="A5794" s="6">
        <v>44224</v>
      </c>
      <c r="B5794">
        <v>7.4690000000000005E-5</v>
      </c>
    </row>
    <row r="5795" spans="1:2" x14ac:dyDescent="0.25">
      <c r="A5795" s="6">
        <v>44225</v>
      </c>
      <c r="B5795">
        <v>7.4690000000000005E-5</v>
      </c>
    </row>
    <row r="5796" spans="1:2" x14ac:dyDescent="0.25">
      <c r="A5796" s="6">
        <v>44228</v>
      </c>
      <c r="B5796">
        <v>7.4690000000000005E-5</v>
      </c>
    </row>
    <row r="5797" spans="1:2" x14ac:dyDescent="0.25">
      <c r="A5797" s="6">
        <v>44229</v>
      </c>
      <c r="B5797">
        <v>7.4690000000000005E-5</v>
      </c>
    </row>
    <row r="5798" spans="1:2" x14ac:dyDescent="0.25">
      <c r="A5798" s="6">
        <v>44230</v>
      </c>
      <c r="B5798">
        <v>7.4690000000000005E-5</v>
      </c>
    </row>
    <row r="5799" spans="1:2" x14ac:dyDescent="0.25">
      <c r="A5799" s="6">
        <v>44231</v>
      </c>
      <c r="B5799">
        <v>7.4690000000000005E-5</v>
      </c>
    </row>
    <row r="5800" spans="1:2" x14ac:dyDescent="0.25">
      <c r="A5800" s="6">
        <v>44232</v>
      </c>
      <c r="B5800">
        <v>7.4690000000000005E-5</v>
      </c>
    </row>
    <row r="5801" spans="1:2" x14ac:dyDescent="0.25">
      <c r="A5801" s="6">
        <v>44235</v>
      </c>
      <c r="B5801">
        <v>7.4690000000000005E-5</v>
      </c>
    </row>
    <row r="5802" spans="1:2" x14ac:dyDescent="0.25">
      <c r="A5802" s="6">
        <v>44236</v>
      </c>
      <c r="B5802">
        <v>7.4690000000000005E-5</v>
      </c>
    </row>
    <row r="5803" spans="1:2" x14ac:dyDescent="0.25">
      <c r="A5803" s="6">
        <v>44237</v>
      </c>
      <c r="B5803">
        <v>7.4690000000000005E-5</v>
      </c>
    </row>
    <row r="5804" spans="1:2" x14ac:dyDescent="0.25">
      <c r="A5804" s="6">
        <v>44238</v>
      </c>
      <c r="B5804">
        <v>7.4690000000000005E-5</v>
      </c>
    </row>
    <row r="5805" spans="1:2" x14ac:dyDescent="0.25">
      <c r="A5805" s="6">
        <v>44239</v>
      </c>
      <c r="B5805">
        <v>7.4690000000000005E-5</v>
      </c>
    </row>
    <row r="5806" spans="1:2" x14ac:dyDescent="0.25">
      <c r="A5806" s="6">
        <v>44244</v>
      </c>
      <c r="B5806">
        <v>7.4690000000000005E-5</v>
      </c>
    </row>
    <row r="5807" spans="1:2" x14ac:dyDescent="0.25">
      <c r="A5807" s="6">
        <v>44245</v>
      </c>
      <c r="B5807">
        <v>7.4690000000000005E-5</v>
      </c>
    </row>
    <row r="5808" spans="1:2" x14ac:dyDescent="0.25">
      <c r="A5808" s="6">
        <v>44246</v>
      </c>
      <c r="B5808">
        <v>7.4690000000000005E-5</v>
      </c>
    </row>
    <row r="5809" spans="1:2" x14ac:dyDescent="0.25">
      <c r="A5809" s="6">
        <v>44249</v>
      </c>
      <c r="B5809">
        <v>7.4690000000000005E-5</v>
      </c>
    </row>
    <row r="5810" spans="1:2" x14ac:dyDescent="0.25">
      <c r="A5810" s="6">
        <v>44250</v>
      </c>
      <c r="B5810">
        <v>7.4690000000000005E-5</v>
      </c>
    </row>
    <row r="5811" spans="1:2" x14ac:dyDescent="0.25">
      <c r="A5811" s="6">
        <v>44251</v>
      </c>
      <c r="B5811">
        <v>7.4690000000000005E-5</v>
      </c>
    </row>
    <row r="5812" spans="1:2" x14ac:dyDescent="0.25">
      <c r="A5812" s="6">
        <v>44252</v>
      </c>
      <c r="B5812">
        <v>7.4690000000000005E-5</v>
      </c>
    </row>
    <row r="5813" spans="1:2" x14ac:dyDescent="0.25">
      <c r="A5813" s="6">
        <v>44253</v>
      </c>
      <c r="B5813">
        <v>7.4690000000000005E-5</v>
      </c>
    </row>
    <row r="5814" spans="1:2" x14ac:dyDescent="0.25">
      <c r="A5814" s="6">
        <v>44256</v>
      </c>
      <c r="B5814">
        <v>7.4690000000000005E-5</v>
      </c>
    </row>
    <row r="5815" spans="1:2" x14ac:dyDescent="0.25">
      <c r="A5815" s="6">
        <v>44257</v>
      </c>
      <c r="B5815">
        <v>7.4690000000000005E-5</v>
      </c>
    </row>
    <row r="5816" spans="1:2" x14ac:dyDescent="0.25">
      <c r="A5816" s="6">
        <v>44258</v>
      </c>
      <c r="B5816">
        <v>7.4690000000000005E-5</v>
      </c>
    </row>
    <row r="5817" spans="1:2" x14ac:dyDescent="0.25">
      <c r="A5817" s="6">
        <v>44259</v>
      </c>
      <c r="B5817">
        <v>7.4690000000000005E-5</v>
      </c>
    </row>
    <row r="5818" spans="1:2" x14ac:dyDescent="0.25">
      <c r="A5818" s="6">
        <v>44260</v>
      </c>
      <c r="B5818">
        <v>7.4690000000000005E-5</v>
      </c>
    </row>
    <row r="5819" spans="1:2" x14ac:dyDescent="0.25">
      <c r="A5819" s="6">
        <v>44263</v>
      </c>
      <c r="B5819">
        <v>7.4690000000000005E-5</v>
      </c>
    </row>
    <row r="5820" spans="1:2" x14ac:dyDescent="0.25">
      <c r="A5820" s="6">
        <v>44264</v>
      </c>
      <c r="B5820">
        <v>7.4690000000000005E-5</v>
      </c>
    </row>
    <row r="5821" spans="1:2" x14ac:dyDescent="0.25">
      <c r="A5821" s="6">
        <v>44265</v>
      </c>
      <c r="B5821">
        <v>7.4690000000000005E-5</v>
      </c>
    </row>
    <row r="5822" spans="1:2" x14ac:dyDescent="0.25">
      <c r="A5822" s="6">
        <v>44266</v>
      </c>
      <c r="B5822">
        <v>7.4690000000000005E-5</v>
      </c>
    </row>
    <row r="5823" spans="1:2" x14ac:dyDescent="0.25">
      <c r="A5823" s="6">
        <v>44267</v>
      </c>
      <c r="B5823">
        <v>7.4690000000000005E-5</v>
      </c>
    </row>
    <row r="5824" spans="1:2" x14ac:dyDescent="0.25">
      <c r="A5824" s="6">
        <v>44270</v>
      </c>
      <c r="B5824">
        <v>7.4690000000000005E-5</v>
      </c>
    </row>
    <row r="5825" spans="1:2" x14ac:dyDescent="0.25">
      <c r="A5825" s="6">
        <v>44271</v>
      </c>
      <c r="B5825">
        <v>7.4690000000000005E-5</v>
      </c>
    </row>
    <row r="5826" spans="1:2" x14ac:dyDescent="0.25">
      <c r="A5826" s="6">
        <v>44272</v>
      </c>
      <c r="B5826">
        <v>7.4690000000000005E-5</v>
      </c>
    </row>
    <row r="5827" spans="1:2" x14ac:dyDescent="0.25">
      <c r="A5827" s="6">
        <v>44273</v>
      </c>
      <c r="B5827">
        <v>1.0378999999999999E-4</v>
      </c>
    </row>
    <row r="5828" spans="1:2" x14ac:dyDescent="0.25">
      <c r="A5828" s="6">
        <v>44274</v>
      </c>
      <c r="B5828">
        <v>1.0378999999999999E-4</v>
      </c>
    </row>
    <row r="5829" spans="1:2" x14ac:dyDescent="0.25">
      <c r="A5829" s="6">
        <v>44277</v>
      </c>
      <c r="B5829">
        <v>1.0378999999999999E-4</v>
      </c>
    </row>
    <row r="5830" spans="1:2" x14ac:dyDescent="0.25">
      <c r="A5830" s="6">
        <v>44278</v>
      </c>
      <c r="B5830">
        <v>1.0378999999999999E-4</v>
      </c>
    </row>
    <row r="5831" spans="1:2" x14ac:dyDescent="0.25">
      <c r="A5831" s="6">
        <v>44279</v>
      </c>
      <c r="B5831">
        <v>1.0378999999999999E-4</v>
      </c>
    </row>
    <row r="5832" spans="1:2" x14ac:dyDescent="0.25">
      <c r="A5832" s="6">
        <v>44280</v>
      </c>
      <c r="B5832">
        <v>1.0378999999999999E-4</v>
      </c>
    </row>
    <row r="5833" spans="1:2" x14ac:dyDescent="0.25">
      <c r="A5833" s="6">
        <v>44281</v>
      </c>
      <c r="B5833">
        <v>1.0378999999999999E-4</v>
      </c>
    </row>
    <row r="5834" spans="1:2" x14ac:dyDescent="0.25">
      <c r="A5834" s="6">
        <v>44284</v>
      </c>
      <c r="B5834">
        <v>1.0378999999999999E-4</v>
      </c>
    </row>
    <row r="5835" spans="1:2" x14ac:dyDescent="0.25">
      <c r="A5835" s="6">
        <v>44285</v>
      </c>
      <c r="B5835">
        <v>1.0378999999999999E-4</v>
      </c>
    </row>
    <row r="5836" spans="1:2" x14ac:dyDescent="0.25">
      <c r="A5836" s="6">
        <v>44286</v>
      </c>
      <c r="B5836">
        <v>1.0378999999999999E-4</v>
      </c>
    </row>
    <row r="5837" spans="1:2" x14ac:dyDescent="0.25">
      <c r="A5837" s="6">
        <v>44287</v>
      </c>
      <c r="B5837">
        <v>1.0378999999999999E-4</v>
      </c>
    </row>
    <row r="5838" spans="1:2" x14ac:dyDescent="0.25">
      <c r="A5838" s="6">
        <v>44291</v>
      </c>
      <c r="B5838">
        <v>1.0378999999999999E-4</v>
      </c>
    </row>
    <row r="5839" spans="1:2" x14ac:dyDescent="0.25">
      <c r="A5839" s="6">
        <v>44292</v>
      </c>
      <c r="B5839">
        <v>1.0378999999999999E-4</v>
      </c>
    </row>
    <row r="5840" spans="1:2" x14ac:dyDescent="0.25">
      <c r="A5840" s="6">
        <v>44293</v>
      </c>
      <c r="B5840">
        <v>1.0378999999999999E-4</v>
      </c>
    </row>
    <row r="5841" spans="1:2" x14ac:dyDescent="0.25">
      <c r="A5841" s="6">
        <v>44294</v>
      </c>
      <c r="B5841">
        <v>1.0378999999999999E-4</v>
      </c>
    </row>
    <row r="5842" spans="1:2" x14ac:dyDescent="0.25">
      <c r="A5842" s="6">
        <v>44295</v>
      </c>
      <c r="B5842">
        <v>1.0378999999999999E-4</v>
      </c>
    </row>
    <row r="5843" spans="1:2" x14ac:dyDescent="0.25">
      <c r="A5843" s="6">
        <v>44298</v>
      </c>
      <c r="B5843">
        <v>1.0378999999999999E-4</v>
      </c>
    </row>
    <row r="5844" spans="1:2" x14ac:dyDescent="0.25">
      <c r="A5844" s="6">
        <v>44299</v>
      </c>
      <c r="B5844">
        <v>1.0378999999999999E-4</v>
      </c>
    </row>
    <row r="5845" spans="1:2" x14ac:dyDescent="0.25">
      <c r="A5845" s="6">
        <v>44300</v>
      </c>
      <c r="B5845">
        <v>1.0378999999999999E-4</v>
      </c>
    </row>
    <row r="5846" spans="1:2" x14ac:dyDescent="0.25">
      <c r="A5846" s="6">
        <v>44301</v>
      </c>
      <c r="B5846">
        <v>1.0378999999999999E-4</v>
      </c>
    </row>
    <row r="5847" spans="1:2" x14ac:dyDescent="0.25">
      <c r="A5847" s="6">
        <v>44302</v>
      </c>
      <c r="B5847">
        <v>1.0378999999999999E-4</v>
      </c>
    </row>
    <row r="5848" spans="1:2" x14ac:dyDescent="0.25">
      <c r="A5848" s="6">
        <v>44305</v>
      </c>
      <c r="B5848">
        <v>1.0378999999999999E-4</v>
      </c>
    </row>
    <row r="5849" spans="1:2" x14ac:dyDescent="0.25">
      <c r="A5849" s="6">
        <v>44306</v>
      </c>
      <c r="B5849">
        <v>1.0378999999999999E-4</v>
      </c>
    </row>
    <row r="5850" spans="1:2" x14ac:dyDescent="0.25">
      <c r="A5850" s="6">
        <v>44308</v>
      </c>
      <c r="B5850">
        <v>1.0378999999999999E-4</v>
      </c>
    </row>
    <row r="5851" spans="1:2" x14ac:dyDescent="0.25">
      <c r="A5851" s="6">
        <v>44309</v>
      </c>
      <c r="B5851">
        <v>1.0378999999999999E-4</v>
      </c>
    </row>
    <row r="5852" spans="1:2" x14ac:dyDescent="0.25">
      <c r="A5852" s="6">
        <v>44312</v>
      </c>
      <c r="B5852">
        <v>1.0378999999999999E-4</v>
      </c>
    </row>
    <row r="5853" spans="1:2" x14ac:dyDescent="0.25">
      <c r="A5853" s="6">
        <v>44313</v>
      </c>
      <c r="B5853">
        <v>1.0378999999999999E-4</v>
      </c>
    </row>
    <row r="5854" spans="1:2" x14ac:dyDescent="0.25">
      <c r="A5854" s="6">
        <v>44314</v>
      </c>
      <c r="B5854">
        <v>1.0378999999999999E-4</v>
      </c>
    </row>
    <row r="5855" spans="1:2" x14ac:dyDescent="0.25">
      <c r="A5855" s="6">
        <v>44315</v>
      </c>
      <c r="B5855">
        <v>1.0378999999999999E-4</v>
      </c>
    </row>
    <row r="5856" spans="1:2" x14ac:dyDescent="0.25">
      <c r="A5856" s="6">
        <v>44316</v>
      </c>
      <c r="B5856">
        <v>1.0378999999999999E-4</v>
      </c>
    </row>
    <row r="5857" spans="1:2" x14ac:dyDescent="0.25">
      <c r="A5857" s="6">
        <v>44319</v>
      </c>
      <c r="B5857">
        <v>1.0378999999999999E-4</v>
      </c>
    </row>
    <row r="5858" spans="1:2" x14ac:dyDescent="0.25">
      <c r="A5858" s="6">
        <v>44320</v>
      </c>
      <c r="B5858">
        <v>1.0378999999999999E-4</v>
      </c>
    </row>
    <row r="5859" spans="1:2" x14ac:dyDescent="0.25">
      <c r="A5859" s="6">
        <v>44321</v>
      </c>
      <c r="B5859">
        <v>1.0378999999999999E-4</v>
      </c>
    </row>
    <row r="5860" spans="1:2" x14ac:dyDescent="0.25">
      <c r="A5860" s="6">
        <v>44322</v>
      </c>
      <c r="B5860">
        <v>1.3269000000000001E-4</v>
      </c>
    </row>
    <row r="5861" spans="1:2" x14ac:dyDescent="0.25">
      <c r="A5861" s="6">
        <v>44323</v>
      </c>
      <c r="B5861">
        <v>1.3269000000000001E-4</v>
      </c>
    </row>
    <row r="5862" spans="1:2" x14ac:dyDescent="0.25">
      <c r="A5862" s="6">
        <v>44326</v>
      </c>
      <c r="B5862">
        <v>1.3269000000000001E-4</v>
      </c>
    </row>
    <row r="5863" spans="1:2" x14ac:dyDescent="0.25">
      <c r="A5863" s="6">
        <v>44327</v>
      </c>
      <c r="B5863">
        <v>1.3269000000000001E-4</v>
      </c>
    </row>
    <row r="5864" spans="1:2" x14ac:dyDescent="0.25">
      <c r="A5864" s="6">
        <v>44328</v>
      </c>
      <c r="B5864">
        <v>1.3269000000000001E-4</v>
      </c>
    </row>
    <row r="5865" spans="1:2" x14ac:dyDescent="0.25">
      <c r="A5865" s="6">
        <v>44329</v>
      </c>
      <c r="B5865">
        <v>1.3269000000000001E-4</v>
      </c>
    </row>
    <row r="5866" spans="1:2" x14ac:dyDescent="0.25">
      <c r="A5866" s="6">
        <v>44330</v>
      </c>
      <c r="B5866">
        <v>1.3269000000000001E-4</v>
      </c>
    </row>
    <row r="5867" spans="1:2" x14ac:dyDescent="0.25">
      <c r="A5867" s="6">
        <v>44333</v>
      </c>
      <c r="B5867">
        <v>1.3269000000000001E-4</v>
      </c>
    </row>
    <row r="5868" spans="1:2" x14ac:dyDescent="0.25">
      <c r="A5868" s="6">
        <v>44334</v>
      </c>
      <c r="B5868">
        <v>1.3269000000000001E-4</v>
      </c>
    </row>
    <row r="5869" spans="1:2" x14ac:dyDescent="0.25">
      <c r="A5869" s="6">
        <v>44335</v>
      </c>
      <c r="B5869">
        <v>1.3269000000000001E-4</v>
      </c>
    </row>
    <row r="5870" spans="1:2" x14ac:dyDescent="0.25">
      <c r="A5870" s="6">
        <v>44336</v>
      </c>
      <c r="B5870">
        <v>1.3269000000000001E-4</v>
      </c>
    </row>
    <row r="5871" spans="1:2" x14ac:dyDescent="0.25">
      <c r="A5871" s="6">
        <v>44337</v>
      </c>
      <c r="B5871">
        <v>1.3269000000000001E-4</v>
      </c>
    </row>
    <row r="5872" spans="1:2" x14ac:dyDescent="0.25">
      <c r="A5872" s="6">
        <v>44340</v>
      </c>
      <c r="B5872">
        <v>1.3269000000000001E-4</v>
      </c>
    </row>
    <row r="5873" spans="1:2" x14ac:dyDescent="0.25">
      <c r="A5873" s="6">
        <v>44341</v>
      </c>
      <c r="B5873">
        <v>1.3269000000000001E-4</v>
      </c>
    </row>
    <row r="5874" spans="1:2" x14ac:dyDescent="0.25">
      <c r="A5874" s="6">
        <v>44342</v>
      </c>
      <c r="B5874">
        <v>1.3269000000000001E-4</v>
      </c>
    </row>
    <row r="5875" spans="1:2" x14ac:dyDescent="0.25">
      <c r="A5875" s="6">
        <v>44343</v>
      </c>
      <c r="B5875">
        <v>1.3269000000000001E-4</v>
      </c>
    </row>
    <row r="5876" spans="1:2" x14ac:dyDescent="0.25">
      <c r="A5876" s="6">
        <v>44344</v>
      </c>
      <c r="B5876">
        <v>1.3269000000000001E-4</v>
      </c>
    </row>
    <row r="5877" spans="1:2" x14ac:dyDescent="0.25">
      <c r="A5877" s="6">
        <v>44347</v>
      </c>
      <c r="B5877">
        <v>1.3269000000000001E-4</v>
      </c>
    </row>
    <row r="5878" spans="1:2" x14ac:dyDescent="0.25">
      <c r="A5878" s="6">
        <v>44348</v>
      </c>
      <c r="B5878">
        <v>1.3269000000000001E-4</v>
      </c>
    </row>
    <row r="5879" spans="1:2" x14ac:dyDescent="0.25">
      <c r="A5879" s="6">
        <v>44349</v>
      </c>
      <c r="B5879">
        <v>1.3269000000000001E-4</v>
      </c>
    </row>
    <row r="5880" spans="1:2" x14ac:dyDescent="0.25">
      <c r="A5880" s="6">
        <v>44351</v>
      </c>
      <c r="B5880">
        <v>1.3269000000000001E-4</v>
      </c>
    </row>
    <row r="5881" spans="1:2" x14ac:dyDescent="0.25">
      <c r="A5881" s="6">
        <v>44354</v>
      </c>
      <c r="B5881">
        <v>1.3269000000000001E-4</v>
      </c>
    </row>
    <row r="5882" spans="1:2" x14ac:dyDescent="0.25">
      <c r="A5882" s="6">
        <v>44355</v>
      </c>
      <c r="B5882">
        <v>1.3269000000000001E-4</v>
      </c>
    </row>
    <row r="5883" spans="1:2" x14ac:dyDescent="0.25">
      <c r="A5883" s="6">
        <v>44356</v>
      </c>
      <c r="B5883">
        <v>1.3269000000000001E-4</v>
      </c>
    </row>
    <row r="5884" spans="1:2" x14ac:dyDescent="0.25">
      <c r="A5884" s="6">
        <v>44357</v>
      </c>
      <c r="B5884">
        <v>1.3269000000000001E-4</v>
      </c>
    </row>
    <row r="5885" spans="1:2" x14ac:dyDescent="0.25">
      <c r="A5885" s="6">
        <v>44358</v>
      </c>
      <c r="B5885">
        <v>1.3269000000000001E-4</v>
      </c>
    </row>
    <row r="5886" spans="1:2" x14ac:dyDescent="0.25">
      <c r="A5886" s="6">
        <v>44361</v>
      </c>
      <c r="B5886">
        <v>1.3269000000000001E-4</v>
      </c>
    </row>
    <row r="5887" spans="1:2" x14ac:dyDescent="0.25">
      <c r="A5887" s="6">
        <v>44362</v>
      </c>
      <c r="B5887">
        <v>1.3269000000000001E-4</v>
      </c>
    </row>
    <row r="5888" spans="1:2" x14ac:dyDescent="0.25">
      <c r="A5888" s="6">
        <v>44363</v>
      </c>
      <c r="B5888">
        <v>1.3269000000000001E-4</v>
      </c>
    </row>
    <row r="5889" spans="1:2" x14ac:dyDescent="0.25">
      <c r="A5889" s="6">
        <v>44364</v>
      </c>
      <c r="B5889">
        <v>1.6136999999999998E-4</v>
      </c>
    </row>
    <row r="5890" spans="1:2" x14ac:dyDescent="0.25">
      <c r="A5890" s="6">
        <v>44365</v>
      </c>
      <c r="B5890">
        <v>1.6136999999999998E-4</v>
      </c>
    </row>
    <row r="5891" spans="1:2" x14ac:dyDescent="0.25">
      <c r="A5891" s="6">
        <v>44368</v>
      </c>
      <c r="B5891">
        <v>1.6136999999999998E-4</v>
      </c>
    </row>
    <row r="5892" spans="1:2" x14ac:dyDescent="0.25">
      <c r="A5892" s="6">
        <v>44369</v>
      </c>
      <c r="B5892">
        <v>1.6136999999999998E-4</v>
      </c>
    </row>
    <row r="5893" spans="1:2" x14ac:dyDescent="0.25">
      <c r="A5893" s="6">
        <v>44370</v>
      </c>
      <c r="B5893">
        <v>1.6136999999999998E-4</v>
      </c>
    </row>
    <row r="5894" spans="1:2" x14ac:dyDescent="0.25">
      <c r="A5894" s="6">
        <v>44371</v>
      </c>
      <c r="B5894">
        <v>1.6136999999999998E-4</v>
      </c>
    </row>
    <row r="5895" spans="1:2" x14ac:dyDescent="0.25">
      <c r="A5895" s="6">
        <v>44372</v>
      </c>
      <c r="B5895">
        <v>1.6136999999999998E-4</v>
      </c>
    </row>
    <row r="5896" spans="1:2" x14ac:dyDescent="0.25">
      <c r="A5896" s="6">
        <v>44375</v>
      </c>
      <c r="B5896">
        <v>1.6136999999999998E-4</v>
      </c>
    </row>
    <row r="5897" spans="1:2" x14ac:dyDescent="0.25">
      <c r="A5897" s="6">
        <v>44376</v>
      </c>
      <c r="B5897">
        <v>1.6136999999999998E-4</v>
      </c>
    </row>
    <row r="5898" spans="1:2" x14ac:dyDescent="0.25">
      <c r="A5898" s="6">
        <v>44377</v>
      </c>
      <c r="B5898">
        <v>1.6136999999999998E-4</v>
      </c>
    </row>
    <row r="5899" spans="1:2" x14ac:dyDescent="0.25">
      <c r="A5899" s="6">
        <v>44378</v>
      </c>
      <c r="B5899">
        <v>1.6136999999999998E-4</v>
      </c>
    </row>
    <row r="5900" spans="1:2" x14ac:dyDescent="0.25">
      <c r="A5900" s="6">
        <v>44379</v>
      </c>
      <c r="B5900">
        <v>1.6136999999999998E-4</v>
      </c>
    </row>
    <row r="5901" spans="1:2" x14ac:dyDescent="0.25">
      <c r="A5901" s="6">
        <v>44382</v>
      </c>
      <c r="B5901">
        <v>1.6136999999999998E-4</v>
      </c>
    </row>
    <row r="5902" spans="1:2" x14ac:dyDescent="0.25">
      <c r="A5902" s="6">
        <v>44383</v>
      </c>
      <c r="B5902">
        <v>1.6136999999999998E-4</v>
      </c>
    </row>
    <row r="5903" spans="1:2" x14ac:dyDescent="0.25">
      <c r="A5903" s="6">
        <v>44384</v>
      </c>
      <c r="B5903">
        <v>1.6136999999999998E-4</v>
      </c>
    </row>
    <row r="5904" spans="1:2" x14ac:dyDescent="0.25">
      <c r="A5904" s="6">
        <v>44385</v>
      </c>
      <c r="B5904">
        <v>1.6136999999999998E-4</v>
      </c>
    </row>
    <row r="5905" spans="1:2" x14ac:dyDescent="0.25">
      <c r="A5905" s="6">
        <v>44386</v>
      </c>
      <c r="B5905">
        <v>1.6136999999999998E-4</v>
      </c>
    </row>
    <row r="5906" spans="1:2" x14ac:dyDescent="0.25">
      <c r="A5906" s="6">
        <v>44389</v>
      </c>
      <c r="B5906">
        <v>1.6136999999999998E-4</v>
      </c>
    </row>
    <row r="5907" spans="1:2" x14ac:dyDescent="0.25">
      <c r="A5907" s="6">
        <v>44390</v>
      </c>
      <c r="B5907">
        <v>1.6136999999999998E-4</v>
      </c>
    </row>
    <row r="5908" spans="1:2" x14ac:dyDescent="0.25">
      <c r="A5908" s="6">
        <v>44391</v>
      </c>
      <c r="B5908">
        <v>1.6136999999999998E-4</v>
      </c>
    </row>
    <row r="5909" spans="1:2" x14ac:dyDescent="0.25">
      <c r="A5909" s="6">
        <v>44392</v>
      </c>
      <c r="B5909">
        <v>1.6136999999999998E-4</v>
      </c>
    </row>
    <row r="5910" spans="1:2" x14ac:dyDescent="0.25">
      <c r="A5910" s="6">
        <v>44393</v>
      </c>
      <c r="B5910">
        <v>1.6136999999999998E-4</v>
      </c>
    </row>
    <row r="5911" spans="1:2" x14ac:dyDescent="0.25">
      <c r="A5911" s="6">
        <v>44396</v>
      </c>
      <c r="B5911">
        <v>1.6136999999999998E-4</v>
      </c>
    </row>
    <row r="5912" spans="1:2" x14ac:dyDescent="0.25">
      <c r="A5912" s="6">
        <v>44397</v>
      </c>
      <c r="B5912">
        <v>1.6136999999999998E-4</v>
      </c>
    </row>
    <row r="5913" spans="1:2" x14ac:dyDescent="0.25">
      <c r="A5913" s="6">
        <v>44398</v>
      </c>
      <c r="B5913">
        <v>1.6136999999999998E-4</v>
      </c>
    </row>
    <row r="5914" spans="1:2" x14ac:dyDescent="0.25">
      <c r="A5914" s="6">
        <v>44399</v>
      </c>
      <c r="B5914">
        <v>1.6136999999999998E-4</v>
      </c>
    </row>
    <row r="5915" spans="1:2" x14ac:dyDescent="0.25">
      <c r="A5915" s="6">
        <v>44400</v>
      </c>
      <c r="B5915">
        <v>1.6136999999999998E-4</v>
      </c>
    </row>
    <row r="5916" spans="1:2" x14ac:dyDescent="0.25">
      <c r="A5916" s="6">
        <v>44403</v>
      </c>
      <c r="B5916">
        <v>1.6136999999999998E-4</v>
      </c>
    </row>
    <row r="5917" spans="1:2" x14ac:dyDescent="0.25">
      <c r="A5917" s="6">
        <v>44404</v>
      </c>
      <c r="B5917">
        <v>1.6136999999999998E-4</v>
      </c>
    </row>
    <row r="5918" spans="1:2" x14ac:dyDescent="0.25">
      <c r="A5918" s="6">
        <v>44405</v>
      </c>
      <c r="B5918">
        <v>1.6136999999999998E-4</v>
      </c>
    </row>
    <row r="5919" spans="1:2" x14ac:dyDescent="0.25">
      <c r="A5919" s="6">
        <v>44406</v>
      </c>
      <c r="B5919">
        <v>1.6136999999999998E-4</v>
      </c>
    </row>
    <row r="5920" spans="1:2" x14ac:dyDescent="0.25">
      <c r="A5920" s="6">
        <v>44407</v>
      </c>
      <c r="B5920">
        <v>1.6136999999999998E-4</v>
      </c>
    </row>
    <row r="5921" spans="1:2" x14ac:dyDescent="0.25">
      <c r="A5921" s="6">
        <v>44410</v>
      </c>
      <c r="B5921">
        <v>1.6136999999999998E-4</v>
      </c>
    </row>
    <row r="5922" spans="1:2" x14ac:dyDescent="0.25">
      <c r="A5922" s="6">
        <v>44411</v>
      </c>
      <c r="B5922">
        <v>1.6136999999999998E-4</v>
      </c>
    </row>
    <row r="5923" spans="1:2" x14ac:dyDescent="0.25">
      <c r="A5923" s="6">
        <v>44412</v>
      </c>
      <c r="B5923">
        <v>1.6136999999999998E-4</v>
      </c>
    </row>
    <row r="5924" spans="1:2" x14ac:dyDescent="0.25">
      <c r="A5924" s="6">
        <v>44413</v>
      </c>
      <c r="B5924">
        <v>1.9929999999999999E-4</v>
      </c>
    </row>
    <row r="5925" spans="1:2" x14ac:dyDescent="0.25">
      <c r="A5925" s="6">
        <v>44414</v>
      </c>
      <c r="B5925">
        <v>1.9929999999999999E-4</v>
      </c>
    </row>
    <row r="5926" spans="1:2" x14ac:dyDescent="0.25">
      <c r="A5926" s="6">
        <v>44417</v>
      </c>
      <c r="B5926">
        <v>1.9929999999999999E-4</v>
      </c>
    </row>
    <row r="5927" spans="1:2" x14ac:dyDescent="0.25">
      <c r="A5927" s="6">
        <v>44418</v>
      </c>
      <c r="B5927">
        <v>1.9929999999999999E-4</v>
      </c>
    </row>
    <row r="5928" spans="1:2" x14ac:dyDescent="0.25">
      <c r="A5928" s="6">
        <v>44419</v>
      </c>
      <c r="B5928">
        <v>1.9929999999999999E-4</v>
      </c>
    </row>
    <row r="5929" spans="1:2" x14ac:dyDescent="0.25">
      <c r="A5929" s="6">
        <v>44420</v>
      </c>
      <c r="B5929">
        <v>1.9929999999999999E-4</v>
      </c>
    </row>
    <row r="5930" spans="1:2" x14ac:dyDescent="0.25">
      <c r="A5930" s="6">
        <v>44421</v>
      </c>
      <c r="B5930">
        <v>1.9929999999999999E-4</v>
      </c>
    </row>
    <row r="5931" spans="1:2" x14ac:dyDescent="0.25">
      <c r="A5931" s="6">
        <v>44424</v>
      </c>
      <c r="B5931">
        <v>1.9929999999999999E-4</v>
      </c>
    </row>
    <row r="5932" spans="1:2" x14ac:dyDescent="0.25">
      <c r="A5932" s="6">
        <v>44425</v>
      </c>
      <c r="B5932">
        <v>1.9929999999999999E-4</v>
      </c>
    </row>
    <row r="5933" spans="1:2" x14ac:dyDescent="0.25">
      <c r="A5933" s="6">
        <v>44426</v>
      </c>
      <c r="B5933">
        <v>1.9929999999999999E-4</v>
      </c>
    </row>
    <row r="5934" spans="1:2" x14ac:dyDescent="0.25">
      <c r="A5934" s="6">
        <v>44427</v>
      </c>
      <c r="B5934">
        <v>1.9929999999999999E-4</v>
      </c>
    </row>
    <row r="5935" spans="1:2" x14ac:dyDescent="0.25">
      <c r="A5935" s="6">
        <v>44428</v>
      </c>
      <c r="B5935">
        <v>1.9929999999999999E-4</v>
      </c>
    </row>
    <row r="5936" spans="1:2" x14ac:dyDescent="0.25">
      <c r="A5936" s="6">
        <v>44431</v>
      </c>
      <c r="B5936">
        <v>1.9929999999999999E-4</v>
      </c>
    </row>
    <row r="5937" spans="1:2" x14ac:dyDescent="0.25">
      <c r="A5937" s="6">
        <v>44432</v>
      </c>
      <c r="B5937">
        <v>1.9929999999999999E-4</v>
      </c>
    </row>
    <row r="5938" spans="1:2" x14ac:dyDescent="0.25">
      <c r="A5938" s="6">
        <v>44433</v>
      </c>
      <c r="B5938">
        <v>1.9929999999999999E-4</v>
      </c>
    </row>
    <row r="5939" spans="1:2" x14ac:dyDescent="0.25">
      <c r="A5939" s="6">
        <v>44434</v>
      </c>
      <c r="B5939">
        <v>1.9929999999999999E-4</v>
      </c>
    </row>
    <row r="5940" spans="1:2" x14ac:dyDescent="0.25">
      <c r="A5940" s="6">
        <v>44435</v>
      </c>
      <c r="B5940">
        <v>1.9929999999999999E-4</v>
      </c>
    </row>
    <row r="5941" spans="1:2" x14ac:dyDescent="0.25">
      <c r="A5941" s="6">
        <v>44438</v>
      </c>
      <c r="B5941">
        <v>1.9929999999999999E-4</v>
      </c>
    </row>
    <row r="5942" spans="1:2" x14ac:dyDescent="0.25">
      <c r="A5942" s="6">
        <v>44439</v>
      </c>
      <c r="B5942">
        <v>1.9929999999999999E-4</v>
      </c>
    </row>
    <row r="5943" spans="1:2" x14ac:dyDescent="0.25">
      <c r="A5943" s="6">
        <v>44440</v>
      </c>
      <c r="B5943">
        <v>1.9929999999999999E-4</v>
      </c>
    </row>
    <row r="5944" spans="1:2" x14ac:dyDescent="0.25">
      <c r="A5944" s="6">
        <v>44441</v>
      </c>
      <c r="B5944">
        <v>1.9929999999999999E-4</v>
      </c>
    </row>
    <row r="5945" spans="1:2" x14ac:dyDescent="0.25">
      <c r="A5945" s="6">
        <v>44442</v>
      </c>
      <c r="B5945">
        <v>1.9929999999999999E-4</v>
      </c>
    </row>
    <row r="5946" spans="1:2" x14ac:dyDescent="0.25">
      <c r="A5946" s="6">
        <v>44445</v>
      </c>
      <c r="B5946">
        <v>1.9929999999999999E-4</v>
      </c>
    </row>
    <row r="5947" spans="1:2" x14ac:dyDescent="0.25">
      <c r="A5947" s="6">
        <v>44447</v>
      </c>
      <c r="B5947">
        <v>1.9929999999999999E-4</v>
      </c>
    </row>
    <row r="5948" spans="1:2" x14ac:dyDescent="0.25">
      <c r="A5948" s="6">
        <v>44448</v>
      </c>
      <c r="B5948">
        <v>1.9929999999999999E-4</v>
      </c>
    </row>
    <row r="5949" spans="1:2" x14ac:dyDescent="0.25">
      <c r="A5949" s="6">
        <v>44449</v>
      </c>
      <c r="B5949">
        <v>1.9929999999999999E-4</v>
      </c>
    </row>
    <row r="5950" spans="1:2" x14ac:dyDescent="0.25">
      <c r="A5950" s="6">
        <v>44452</v>
      </c>
      <c r="B5950">
        <v>1.9929999999999999E-4</v>
      </c>
    </row>
    <row r="5951" spans="1:2" x14ac:dyDescent="0.25">
      <c r="A5951" s="6">
        <v>44453</v>
      </c>
      <c r="B5951">
        <v>1.9929999999999999E-4</v>
      </c>
    </row>
    <row r="5952" spans="1:2" x14ac:dyDescent="0.25">
      <c r="A5952" s="6">
        <v>44454</v>
      </c>
      <c r="B5952">
        <v>1.9929999999999999E-4</v>
      </c>
    </row>
    <row r="5953" spans="1:2" x14ac:dyDescent="0.25">
      <c r="A5953" s="6">
        <v>44455</v>
      </c>
      <c r="B5953">
        <v>1.9929999999999999E-4</v>
      </c>
    </row>
    <row r="5954" spans="1:2" x14ac:dyDescent="0.25">
      <c r="A5954" s="6">
        <v>44456</v>
      </c>
      <c r="B5954">
        <v>1.9929999999999999E-4</v>
      </c>
    </row>
    <row r="5955" spans="1:2" x14ac:dyDescent="0.25">
      <c r="A5955" s="6">
        <v>44459</v>
      </c>
      <c r="B5955">
        <v>1.9929999999999999E-4</v>
      </c>
    </row>
    <row r="5956" spans="1:2" x14ac:dyDescent="0.25">
      <c r="A5956" s="6">
        <v>44460</v>
      </c>
      <c r="B5956">
        <v>1.9929999999999999E-4</v>
      </c>
    </row>
    <row r="5957" spans="1:2" x14ac:dyDescent="0.25">
      <c r="A5957" s="6">
        <v>44461</v>
      </c>
      <c r="B5957">
        <v>1.9929999999999999E-4</v>
      </c>
    </row>
    <row r="5958" spans="1:2" x14ac:dyDescent="0.25">
      <c r="A5958" s="6">
        <v>44462</v>
      </c>
      <c r="B5958">
        <v>2.3687E-4</v>
      </c>
    </row>
    <row r="5959" spans="1:2" x14ac:dyDescent="0.25">
      <c r="A5959" s="6">
        <v>44463</v>
      </c>
      <c r="B5959">
        <v>2.3687E-4</v>
      </c>
    </row>
    <row r="5960" spans="1:2" x14ac:dyDescent="0.25">
      <c r="A5960" s="6">
        <v>44466</v>
      </c>
      <c r="B5960">
        <v>2.3687E-4</v>
      </c>
    </row>
    <row r="5961" spans="1:2" x14ac:dyDescent="0.25">
      <c r="A5961" s="6">
        <v>44467</v>
      </c>
      <c r="B5961">
        <v>2.3687E-4</v>
      </c>
    </row>
    <row r="5962" spans="1:2" x14ac:dyDescent="0.25">
      <c r="A5962" s="6">
        <v>44468</v>
      </c>
      <c r="B5962">
        <v>2.3687E-4</v>
      </c>
    </row>
    <row r="5963" spans="1:2" x14ac:dyDescent="0.25">
      <c r="A5963" s="6">
        <v>44469</v>
      </c>
      <c r="B5963">
        <v>2.3687E-4</v>
      </c>
    </row>
    <row r="5964" spans="1:2" x14ac:dyDescent="0.25">
      <c r="A5964" s="6">
        <v>44470</v>
      </c>
      <c r="B5964">
        <v>2.3687E-4</v>
      </c>
    </row>
    <row r="5965" spans="1:2" x14ac:dyDescent="0.25">
      <c r="A5965" s="6">
        <v>44473</v>
      </c>
      <c r="B5965">
        <v>2.3687E-4</v>
      </c>
    </row>
    <row r="5966" spans="1:2" x14ac:dyDescent="0.25">
      <c r="A5966" s="6">
        <v>44474</v>
      </c>
      <c r="B5966">
        <v>2.3687E-4</v>
      </c>
    </row>
    <row r="5967" spans="1:2" x14ac:dyDescent="0.25">
      <c r="A5967" s="6">
        <v>44475</v>
      </c>
      <c r="B5967">
        <v>2.3687E-4</v>
      </c>
    </row>
    <row r="5968" spans="1:2" x14ac:dyDescent="0.25">
      <c r="A5968" s="6">
        <v>44476</v>
      </c>
      <c r="B5968">
        <v>2.3687E-4</v>
      </c>
    </row>
    <row r="5969" spans="1:2" x14ac:dyDescent="0.25">
      <c r="A5969" s="6">
        <v>44477</v>
      </c>
      <c r="B5969">
        <v>2.3687E-4</v>
      </c>
    </row>
    <row r="5970" spans="1:2" x14ac:dyDescent="0.25">
      <c r="A5970" s="6">
        <v>44480</v>
      </c>
      <c r="B5970">
        <v>2.3687E-4</v>
      </c>
    </row>
    <row r="5971" spans="1:2" x14ac:dyDescent="0.25">
      <c r="A5971" s="6">
        <v>44482</v>
      </c>
      <c r="B5971">
        <v>2.3687E-4</v>
      </c>
    </row>
    <row r="5972" spans="1:2" x14ac:dyDescent="0.25">
      <c r="A5972" s="6">
        <v>44483</v>
      </c>
      <c r="B5972">
        <v>2.3687E-4</v>
      </c>
    </row>
    <row r="5973" spans="1:2" x14ac:dyDescent="0.25">
      <c r="A5973" s="6">
        <v>44484</v>
      </c>
      <c r="B5973">
        <v>2.3687E-4</v>
      </c>
    </row>
    <row r="5974" spans="1:2" x14ac:dyDescent="0.25">
      <c r="A5974" s="6">
        <v>44487</v>
      </c>
      <c r="B5974">
        <v>2.3687E-4</v>
      </c>
    </row>
    <row r="5975" spans="1:2" x14ac:dyDescent="0.25">
      <c r="A5975" s="6">
        <v>44488</v>
      </c>
      <c r="B5975">
        <v>2.3687E-4</v>
      </c>
    </row>
    <row r="5976" spans="1:2" x14ac:dyDescent="0.25">
      <c r="A5976" s="6">
        <v>44489</v>
      </c>
      <c r="B5976">
        <v>2.3687E-4</v>
      </c>
    </row>
    <row r="5977" spans="1:2" x14ac:dyDescent="0.25">
      <c r="A5977" s="6">
        <v>44490</v>
      </c>
      <c r="B5977">
        <v>2.3687E-4</v>
      </c>
    </row>
    <row r="5978" spans="1:2" x14ac:dyDescent="0.25">
      <c r="A5978" s="6">
        <v>44491</v>
      </c>
      <c r="B5978">
        <v>2.3687E-4</v>
      </c>
    </row>
    <row r="5979" spans="1:2" x14ac:dyDescent="0.25">
      <c r="A5979" s="6">
        <v>44494</v>
      </c>
      <c r="B5979">
        <v>2.3687E-4</v>
      </c>
    </row>
    <row r="5980" spans="1:2" x14ac:dyDescent="0.25">
      <c r="A5980" s="6">
        <v>44495</v>
      </c>
      <c r="B5980">
        <v>2.3687E-4</v>
      </c>
    </row>
    <row r="5981" spans="1:2" x14ac:dyDescent="0.25">
      <c r="A5981" s="6">
        <v>44496</v>
      </c>
      <c r="B5981">
        <v>2.3687E-4</v>
      </c>
    </row>
    <row r="5982" spans="1:2" x14ac:dyDescent="0.25">
      <c r="A5982" s="6">
        <v>44497</v>
      </c>
      <c r="B5982">
        <v>2.9256000000000003E-4</v>
      </c>
    </row>
    <row r="5983" spans="1:2" x14ac:dyDescent="0.25">
      <c r="A5983" s="6">
        <v>44498</v>
      </c>
      <c r="B5983">
        <v>2.9256000000000003E-4</v>
      </c>
    </row>
    <row r="5984" spans="1:2" x14ac:dyDescent="0.25">
      <c r="A5984" s="6">
        <v>44501</v>
      </c>
      <c r="B5984">
        <v>2.9256000000000003E-4</v>
      </c>
    </row>
    <row r="5985" spans="1:2" x14ac:dyDescent="0.25">
      <c r="A5985" s="6">
        <v>44503</v>
      </c>
      <c r="B5985">
        <v>2.9256000000000003E-4</v>
      </c>
    </row>
    <row r="5986" spans="1:2" x14ac:dyDescent="0.25">
      <c r="A5986" s="6">
        <v>44504</v>
      </c>
      <c r="B5986">
        <v>2.9256000000000003E-4</v>
      </c>
    </row>
    <row r="5987" spans="1:2" x14ac:dyDescent="0.25">
      <c r="A5987" s="6">
        <v>44505</v>
      </c>
      <c r="B5987">
        <v>2.9256000000000003E-4</v>
      </c>
    </row>
    <row r="5988" spans="1:2" x14ac:dyDescent="0.25">
      <c r="A5988" s="6">
        <v>44508</v>
      </c>
      <c r="B5988">
        <v>2.9256000000000003E-4</v>
      </c>
    </row>
    <row r="5989" spans="1:2" x14ac:dyDescent="0.25">
      <c r="A5989" s="6">
        <v>44509</v>
      </c>
      <c r="B5989">
        <v>2.9256000000000003E-4</v>
      </c>
    </row>
    <row r="5990" spans="1:2" x14ac:dyDescent="0.25">
      <c r="A5990" s="6">
        <v>44510</v>
      </c>
      <c r="B5990">
        <v>2.9256000000000003E-4</v>
      </c>
    </row>
    <row r="5991" spans="1:2" x14ac:dyDescent="0.25">
      <c r="A5991" s="6">
        <v>44511</v>
      </c>
      <c r="B5991">
        <v>2.9256000000000003E-4</v>
      </c>
    </row>
    <row r="5992" spans="1:2" x14ac:dyDescent="0.25">
      <c r="A5992" s="6">
        <v>44512</v>
      </c>
      <c r="B5992">
        <v>2.9256000000000003E-4</v>
      </c>
    </row>
    <row r="5993" spans="1:2" x14ac:dyDescent="0.25">
      <c r="A5993" s="6">
        <v>44516</v>
      </c>
      <c r="B5993">
        <v>2.9256000000000003E-4</v>
      </c>
    </row>
    <row r="5994" spans="1:2" x14ac:dyDescent="0.25">
      <c r="A5994" s="6">
        <v>44517</v>
      </c>
      <c r="B5994">
        <v>2.9256000000000003E-4</v>
      </c>
    </row>
    <row r="5995" spans="1:2" x14ac:dyDescent="0.25">
      <c r="A5995" s="6">
        <v>44518</v>
      </c>
      <c r="B5995">
        <v>2.9256000000000003E-4</v>
      </c>
    </row>
    <row r="5996" spans="1:2" x14ac:dyDescent="0.25">
      <c r="A5996" s="6">
        <v>44519</v>
      </c>
      <c r="B5996">
        <v>2.9256000000000003E-4</v>
      </c>
    </row>
    <row r="5997" spans="1:2" x14ac:dyDescent="0.25">
      <c r="A5997" s="6">
        <v>44522</v>
      </c>
      <c r="B5997">
        <v>2.9256000000000003E-4</v>
      </c>
    </row>
    <row r="5998" spans="1:2" x14ac:dyDescent="0.25">
      <c r="A5998" s="6">
        <v>44523</v>
      </c>
      <c r="B5998">
        <v>2.9256000000000003E-4</v>
      </c>
    </row>
    <row r="5999" spans="1:2" x14ac:dyDescent="0.25">
      <c r="A5999" s="6">
        <v>44524</v>
      </c>
      <c r="B5999">
        <v>2.9256000000000003E-4</v>
      </c>
    </row>
    <row r="6000" spans="1:2" x14ac:dyDescent="0.25">
      <c r="A6000" s="6">
        <v>44525</v>
      </c>
      <c r="B6000">
        <v>2.9256000000000003E-4</v>
      </c>
    </row>
    <row r="6001" spans="1:2" x14ac:dyDescent="0.25">
      <c r="A6001" s="6">
        <v>44526</v>
      </c>
      <c r="B6001">
        <v>2.9256000000000003E-4</v>
      </c>
    </row>
    <row r="6002" spans="1:2" x14ac:dyDescent="0.25">
      <c r="A6002" s="6">
        <v>44529</v>
      </c>
      <c r="B6002">
        <v>2.9256000000000003E-4</v>
      </c>
    </row>
    <row r="6003" spans="1:2" x14ac:dyDescent="0.25">
      <c r="A6003" s="6">
        <v>44530</v>
      </c>
      <c r="B6003">
        <v>2.9256000000000003E-4</v>
      </c>
    </row>
    <row r="6004" spans="1:2" x14ac:dyDescent="0.25">
      <c r="A6004" s="6">
        <v>44531</v>
      </c>
      <c r="B6004">
        <v>2.9256000000000003E-4</v>
      </c>
    </row>
    <row r="6005" spans="1:2" x14ac:dyDescent="0.25">
      <c r="A6005" s="6">
        <v>44532</v>
      </c>
      <c r="B6005">
        <v>2.9256000000000003E-4</v>
      </c>
    </row>
    <row r="6006" spans="1:2" x14ac:dyDescent="0.25">
      <c r="A6006" s="6">
        <v>44533</v>
      </c>
      <c r="B6006">
        <v>2.9256000000000003E-4</v>
      </c>
    </row>
    <row r="6007" spans="1:2" x14ac:dyDescent="0.25">
      <c r="A6007" s="6">
        <v>44536</v>
      </c>
      <c r="B6007">
        <v>2.9256000000000003E-4</v>
      </c>
    </row>
    <row r="6008" spans="1:2" x14ac:dyDescent="0.25">
      <c r="A6008" s="6">
        <v>44537</v>
      </c>
      <c r="B6008">
        <v>2.9256000000000003E-4</v>
      </c>
    </row>
    <row r="6009" spans="1:2" x14ac:dyDescent="0.25">
      <c r="A6009" s="6">
        <v>44538</v>
      </c>
      <c r="B6009">
        <v>2.9256000000000003E-4</v>
      </c>
    </row>
    <row r="6010" spans="1:2" x14ac:dyDescent="0.25">
      <c r="A6010" s="6">
        <v>44539</v>
      </c>
      <c r="B6010">
        <v>3.4749E-4</v>
      </c>
    </row>
    <row r="6011" spans="1:2" x14ac:dyDescent="0.25">
      <c r="A6011" s="6">
        <v>44540</v>
      </c>
      <c r="B6011">
        <v>3.4749E-4</v>
      </c>
    </row>
    <row r="6012" spans="1:2" x14ac:dyDescent="0.25">
      <c r="A6012" s="6">
        <v>44543</v>
      </c>
      <c r="B6012">
        <v>3.4749E-4</v>
      </c>
    </row>
    <row r="6013" spans="1:2" x14ac:dyDescent="0.25">
      <c r="A6013" s="6">
        <v>44544</v>
      </c>
      <c r="B6013">
        <v>3.4749E-4</v>
      </c>
    </row>
    <row r="6014" spans="1:2" x14ac:dyDescent="0.25">
      <c r="A6014" s="6">
        <v>44545</v>
      </c>
      <c r="B6014">
        <v>3.4749E-4</v>
      </c>
    </row>
    <row r="6015" spans="1:2" x14ac:dyDescent="0.25">
      <c r="A6015" s="6">
        <v>44546</v>
      </c>
      <c r="B6015">
        <v>3.4749E-4</v>
      </c>
    </row>
    <row r="6016" spans="1:2" x14ac:dyDescent="0.25">
      <c r="A6016" s="6">
        <v>44547</v>
      </c>
      <c r="B6016">
        <v>3.4749E-4</v>
      </c>
    </row>
    <row r="6017" spans="1:2" x14ac:dyDescent="0.25">
      <c r="A6017" s="6">
        <v>44550</v>
      </c>
      <c r="B6017">
        <v>3.4749E-4</v>
      </c>
    </row>
    <row r="6018" spans="1:2" x14ac:dyDescent="0.25">
      <c r="A6018" s="6">
        <v>44551</v>
      </c>
      <c r="B6018">
        <v>3.4749E-4</v>
      </c>
    </row>
    <row r="6019" spans="1:2" x14ac:dyDescent="0.25">
      <c r="A6019" s="6">
        <v>44552</v>
      </c>
      <c r="B6019">
        <v>3.4749E-4</v>
      </c>
    </row>
    <row r="6020" spans="1:2" x14ac:dyDescent="0.25">
      <c r="A6020" s="6">
        <v>44553</v>
      </c>
      <c r="B6020">
        <v>3.4749E-4</v>
      </c>
    </row>
    <row r="6021" spans="1:2" x14ac:dyDescent="0.25">
      <c r="A6021" s="6">
        <v>44554</v>
      </c>
      <c r="B6021">
        <v>3.4749E-4</v>
      </c>
    </row>
    <row r="6022" spans="1:2" x14ac:dyDescent="0.25">
      <c r="A6022" s="6">
        <v>44557</v>
      </c>
      <c r="B6022">
        <v>3.4749E-4</v>
      </c>
    </row>
    <row r="6023" spans="1:2" x14ac:dyDescent="0.25">
      <c r="A6023" s="6">
        <v>44558</v>
      </c>
      <c r="B6023">
        <v>3.4749E-4</v>
      </c>
    </row>
    <row r="6024" spans="1:2" x14ac:dyDescent="0.25">
      <c r="A6024" s="6">
        <v>44559</v>
      </c>
      <c r="B6024">
        <v>3.4749E-4</v>
      </c>
    </row>
    <row r="6025" spans="1:2" x14ac:dyDescent="0.25">
      <c r="A6025" s="6">
        <v>44560</v>
      </c>
      <c r="B6025">
        <v>3.4749E-4</v>
      </c>
    </row>
    <row r="6026" spans="1:2" x14ac:dyDescent="0.25">
      <c r="A6026" s="6">
        <v>44561</v>
      </c>
      <c r="B6026">
        <v>3.4749E-4</v>
      </c>
    </row>
    <row r="6027" spans="1:2" x14ac:dyDescent="0.25">
      <c r="A6027" s="6">
        <v>44564</v>
      </c>
      <c r="B6027">
        <v>3.4749E-4</v>
      </c>
    </row>
    <row r="6028" spans="1:2" x14ac:dyDescent="0.25">
      <c r="A6028" s="6">
        <v>44565</v>
      </c>
      <c r="B6028">
        <v>3.4749E-4</v>
      </c>
    </row>
    <row r="6029" spans="1:2" x14ac:dyDescent="0.25">
      <c r="A6029" s="6">
        <v>44566</v>
      </c>
      <c r="B6029">
        <v>3.4749E-4</v>
      </c>
    </row>
    <row r="6030" spans="1:2" x14ac:dyDescent="0.25">
      <c r="A6030" s="6">
        <v>44567</v>
      </c>
      <c r="B6030">
        <v>3.4749E-4</v>
      </c>
    </row>
    <row r="6031" spans="1:2" x14ac:dyDescent="0.25">
      <c r="A6031" s="6">
        <v>44568</v>
      </c>
      <c r="B6031">
        <v>3.4749E-4</v>
      </c>
    </row>
    <row r="6032" spans="1:2" x14ac:dyDescent="0.25">
      <c r="A6032" s="6">
        <v>44571</v>
      </c>
      <c r="B6032">
        <v>3.4749E-4</v>
      </c>
    </row>
    <row r="6033" spans="1:2" x14ac:dyDescent="0.25">
      <c r="A6033" s="6">
        <v>44572</v>
      </c>
      <c r="B6033">
        <v>3.4749E-4</v>
      </c>
    </row>
    <row r="6034" spans="1:2" x14ac:dyDescent="0.25">
      <c r="A6034" s="6">
        <v>44573</v>
      </c>
      <c r="B6034">
        <v>3.4749E-4</v>
      </c>
    </row>
    <row r="6035" spans="1:2" x14ac:dyDescent="0.25">
      <c r="A6035" s="6">
        <v>44574</v>
      </c>
      <c r="B6035">
        <v>3.4749E-4</v>
      </c>
    </row>
    <row r="6036" spans="1:2" x14ac:dyDescent="0.25">
      <c r="A6036" s="6">
        <v>44575</v>
      </c>
      <c r="B6036">
        <v>3.4749E-4</v>
      </c>
    </row>
    <row r="6037" spans="1:2" x14ac:dyDescent="0.25">
      <c r="A6037" s="6">
        <v>44578</v>
      </c>
      <c r="B6037">
        <v>3.4749E-4</v>
      </c>
    </row>
    <row r="6038" spans="1:2" x14ac:dyDescent="0.25">
      <c r="A6038" s="6">
        <v>44579</v>
      </c>
      <c r="B6038">
        <v>3.4749E-4</v>
      </c>
    </row>
    <row r="6039" spans="1:2" x14ac:dyDescent="0.25">
      <c r="A6039" s="6">
        <v>44580</v>
      </c>
      <c r="B6039">
        <v>3.4749E-4</v>
      </c>
    </row>
    <row r="6040" spans="1:2" x14ac:dyDescent="0.25">
      <c r="A6040" s="6">
        <v>44581</v>
      </c>
      <c r="B6040">
        <v>3.4749E-4</v>
      </c>
    </row>
    <row r="6041" spans="1:2" x14ac:dyDescent="0.25">
      <c r="A6041" s="6">
        <v>44582</v>
      </c>
      <c r="B6041">
        <v>3.4749E-4</v>
      </c>
    </row>
    <row r="6042" spans="1:2" x14ac:dyDescent="0.25">
      <c r="A6042" s="6">
        <v>44585</v>
      </c>
      <c r="B6042">
        <v>3.4749E-4</v>
      </c>
    </row>
    <row r="6043" spans="1:2" x14ac:dyDescent="0.25">
      <c r="A6043" s="6">
        <v>44586</v>
      </c>
      <c r="B6043">
        <v>3.4749E-4</v>
      </c>
    </row>
    <row r="6044" spans="1:2" x14ac:dyDescent="0.25">
      <c r="A6044" s="6">
        <v>44587</v>
      </c>
      <c r="B6044">
        <v>3.4749E-4</v>
      </c>
    </row>
    <row r="6045" spans="1:2" x14ac:dyDescent="0.25">
      <c r="A6045" s="6">
        <v>44588</v>
      </c>
      <c r="B6045">
        <v>3.4749E-4</v>
      </c>
    </row>
    <row r="6046" spans="1:2" x14ac:dyDescent="0.25">
      <c r="A6046" s="6">
        <v>44589</v>
      </c>
      <c r="B6046">
        <v>3.4749E-4</v>
      </c>
    </row>
    <row r="6047" spans="1:2" x14ac:dyDescent="0.25">
      <c r="A6047" s="6">
        <v>44592</v>
      </c>
      <c r="B6047">
        <v>3.4749E-4</v>
      </c>
    </row>
    <row r="6048" spans="1:2" x14ac:dyDescent="0.25">
      <c r="A6048" s="6">
        <v>44593</v>
      </c>
      <c r="B6048">
        <v>3.4749E-4</v>
      </c>
    </row>
    <row r="6049" spans="1:2" x14ac:dyDescent="0.25">
      <c r="A6049" s="6">
        <v>44594</v>
      </c>
      <c r="B6049">
        <v>3.4749E-4</v>
      </c>
    </row>
    <row r="6050" spans="1:2" x14ac:dyDescent="0.25">
      <c r="A6050" s="6">
        <v>44595</v>
      </c>
      <c r="B6050">
        <v>4.0168000000000002E-4</v>
      </c>
    </row>
    <row r="6051" spans="1:2" x14ac:dyDescent="0.25">
      <c r="A6051" t="s">
        <v>926</v>
      </c>
    </row>
  </sheetData>
  <autoFilter ref="A1:B6051" xr:uid="{4DD65B1D-3EEC-4F53-8556-5B40A3178D1C}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BBC4F-CC2F-4EA5-8B7A-70668C6E1459}">
  <sheetPr codeName="Planilha7"/>
  <dimension ref="A1:B26"/>
  <sheetViews>
    <sheetView workbookViewId="0"/>
  </sheetViews>
  <sheetFormatPr defaultRowHeight="15" x14ac:dyDescent="0.25"/>
  <cols>
    <col min="2" max="2" width="23" bestFit="1" customWidth="1"/>
  </cols>
  <sheetData>
    <row r="1" spans="1:2" x14ac:dyDescent="0.25">
      <c r="A1" t="s">
        <v>473</v>
      </c>
      <c r="B1" t="s">
        <v>924</v>
      </c>
    </row>
    <row r="2" spans="1:2" x14ac:dyDescent="0.25">
      <c r="A2">
        <v>1998</v>
      </c>
      <c r="B2" s="11">
        <v>4.7300000000000002E-2</v>
      </c>
    </row>
    <row r="3" spans="1:2" x14ac:dyDescent="0.25">
      <c r="A3">
        <v>1999</v>
      </c>
      <c r="B3" s="11">
        <v>1.6500000000000001E-2</v>
      </c>
    </row>
    <row r="4" spans="1:2" x14ac:dyDescent="0.25">
      <c r="A4">
        <v>2000</v>
      </c>
      <c r="B4" s="11">
        <v>8.8499999999999995E-2</v>
      </c>
    </row>
    <row r="5" spans="1:2" x14ac:dyDescent="0.25">
      <c r="A5">
        <v>2001</v>
      </c>
      <c r="B5" s="11">
        <v>5.9200000000000003E-2</v>
      </c>
    </row>
    <row r="6" spans="1:2" x14ac:dyDescent="0.25">
      <c r="A6">
        <v>2002</v>
      </c>
      <c r="B6" s="11">
        <v>7.6200000000000004E-2</v>
      </c>
    </row>
    <row r="7" spans="1:2" x14ac:dyDescent="0.25">
      <c r="A7">
        <v>2003</v>
      </c>
      <c r="B7" s="11">
        <v>0.1447</v>
      </c>
    </row>
    <row r="8" spans="1:2" x14ac:dyDescent="0.25">
      <c r="A8">
        <v>2004</v>
      </c>
      <c r="B8" s="11">
        <v>7.7100000000000002E-2</v>
      </c>
    </row>
    <row r="9" spans="1:2" x14ac:dyDescent="0.25">
      <c r="A9">
        <v>2005</v>
      </c>
      <c r="B9" s="11">
        <v>7.4099999999999999E-2</v>
      </c>
    </row>
    <row r="10" spans="1:2" x14ac:dyDescent="0.25">
      <c r="A10">
        <v>2006</v>
      </c>
      <c r="B10" s="11">
        <v>5.7000000000000002E-2</v>
      </c>
    </row>
    <row r="11" spans="1:2" x14ac:dyDescent="0.25">
      <c r="A11">
        <v>2007</v>
      </c>
      <c r="B11" s="11">
        <v>2.9900000000000003E-2</v>
      </c>
    </row>
    <row r="12" spans="1:2" x14ac:dyDescent="0.25">
      <c r="A12">
        <v>2008</v>
      </c>
      <c r="B12" s="11">
        <v>4.5599999999999995E-2</v>
      </c>
    </row>
    <row r="13" spans="1:2" x14ac:dyDescent="0.25">
      <c r="A13">
        <v>2009</v>
      </c>
      <c r="B13" s="11">
        <v>5.8400000000000001E-2</v>
      </c>
    </row>
    <row r="14" spans="1:2" x14ac:dyDescent="0.25">
      <c r="A14">
        <v>2010</v>
      </c>
      <c r="B14" s="11">
        <v>4.5899999999999996E-2</v>
      </c>
    </row>
    <row r="15" spans="1:2" x14ac:dyDescent="0.25">
      <c r="A15">
        <v>2011</v>
      </c>
      <c r="B15" s="11">
        <v>5.9900000000000002E-2</v>
      </c>
    </row>
    <row r="16" spans="1:2" x14ac:dyDescent="0.25">
      <c r="A16">
        <v>2012</v>
      </c>
      <c r="B16" s="11">
        <v>6.2199999999999998E-2</v>
      </c>
    </row>
    <row r="17" spans="1:2" x14ac:dyDescent="0.25">
      <c r="A17">
        <v>2013</v>
      </c>
      <c r="B17" s="11">
        <v>6.1500000000000006E-2</v>
      </c>
    </row>
    <row r="18" spans="1:2" x14ac:dyDescent="0.25">
      <c r="A18">
        <v>2014</v>
      </c>
      <c r="B18" s="11">
        <v>5.5899999999999998E-2</v>
      </c>
    </row>
    <row r="19" spans="1:2" x14ac:dyDescent="0.25">
      <c r="A19">
        <v>2015</v>
      </c>
      <c r="B19" s="11">
        <v>7.1399999999999991E-2</v>
      </c>
    </row>
    <row r="20" spans="1:2" x14ac:dyDescent="0.25">
      <c r="A20">
        <v>2016</v>
      </c>
      <c r="B20" s="11">
        <v>0.10710000000000001</v>
      </c>
    </row>
    <row r="21" spans="1:2" x14ac:dyDescent="0.25">
      <c r="A21">
        <v>2017</v>
      </c>
      <c r="B21" s="11">
        <v>5.3499999999999999E-2</v>
      </c>
    </row>
    <row r="22" spans="1:2" x14ac:dyDescent="0.25">
      <c r="A22">
        <v>2018</v>
      </c>
      <c r="B22" s="11">
        <v>2.86E-2</v>
      </c>
    </row>
    <row r="23" spans="1:2" x14ac:dyDescent="0.25">
      <c r="A23">
        <v>2019</v>
      </c>
      <c r="B23" s="11">
        <v>3.78E-2</v>
      </c>
    </row>
    <row r="24" spans="1:2" x14ac:dyDescent="0.25">
      <c r="A24">
        <v>2020</v>
      </c>
      <c r="B24" s="11">
        <v>4.1900000000000007E-2</v>
      </c>
    </row>
    <row r="25" spans="1:2" x14ac:dyDescent="0.25">
      <c r="A25">
        <v>2021</v>
      </c>
      <c r="B25" s="11">
        <v>4.5599999999999995E-2</v>
      </c>
    </row>
    <row r="26" spans="1:2" x14ac:dyDescent="0.25">
      <c r="A26" t="s">
        <v>927</v>
      </c>
    </row>
  </sheetData>
  <autoFilter ref="A1:B1" xr:uid="{E11BBC4F-CC2F-4EA5-8B7A-70668C6E1459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17</vt:i4>
      </vt:variant>
    </vt:vector>
  </HeadingPairs>
  <TitlesOfParts>
    <vt:vector size="24" baseType="lpstr">
      <vt:lpstr>ativos</vt:lpstr>
      <vt:lpstr>preços</vt:lpstr>
      <vt:lpstr>retornos</vt:lpstr>
      <vt:lpstr>carteira_3_ativos</vt:lpstr>
      <vt:lpstr>utilidade</vt:lpstr>
      <vt:lpstr>selic</vt:lpstr>
      <vt:lpstr>ipca</vt:lpstr>
      <vt:lpstr>corr_a1_a3</vt:lpstr>
      <vt:lpstr>cov_a1_a2</vt:lpstr>
      <vt:lpstr>cov_a1_a3</vt:lpstr>
      <vt:lpstr>cov_a2_a3</vt:lpstr>
      <vt:lpstr>dp_risco_a</vt:lpstr>
      <vt:lpstr>retorno_a</vt:lpstr>
      <vt:lpstr>retorno_a1</vt:lpstr>
      <vt:lpstr>retorno_a2</vt:lpstr>
      <vt:lpstr>retorno_a3</vt:lpstr>
      <vt:lpstr>retorno_m</vt:lpstr>
      <vt:lpstr>sharpe_a1</vt:lpstr>
      <vt:lpstr>sharpe_a2</vt:lpstr>
      <vt:lpstr>sharpe_a3</vt:lpstr>
      <vt:lpstr>taxa_di</vt:lpstr>
      <vt:lpstr>variância_a1</vt:lpstr>
      <vt:lpstr>variância_a2</vt:lpstr>
      <vt:lpstr>variância_a3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Raoni Fantinel</dc:creator>
  <cp:lastModifiedBy>Raoni Fantinel</cp:lastModifiedBy>
  <dcterms:created xsi:type="dcterms:W3CDTF">2022-02-06T23:08:13Z</dcterms:created>
  <dcterms:modified xsi:type="dcterms:W3CDTF">2022-02-09T15:11:30Z</dcterms:modified>
</cp:coreProperties>
</file>